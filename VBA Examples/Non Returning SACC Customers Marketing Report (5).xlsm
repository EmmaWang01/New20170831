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.wang\Desktop\APL Report\Report Development\SharePoint\20170426\"/>
    </mc:Choice>
  </mc:AlternateContent>
  <bookViews>
    <workbookView xWindow="0" yWindow="0" windowWidth="23040" windowHeight="7958" firstSheet="1" activeTab="2"/>
  </bookViews>
  <sheets>
    <sheet name="Sheet3" sheetId="3" state="hidden" r:id="rId1"/>
    <sheet name="Data" sheetId="1" r:id="rId2"/>
    <sheet name="Input" sheetId="2" r:id="rId3"/>
  </sheets>
  <definedNames>
    <definedName name="m3_db01_master_CommandLog" localSheetId="1" hidden="1">Data!$A$1:$Z$50</definedName>
  </definedNames>
  <calcPr calcId="171027"/>
  <pivotCaches>
    <pivotCache cacheId="23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3" l="1"/>
  <c r="C25" i="3"/>
  <c r="C24" i="3"/>
  <c r="C23" i="3"/>
  <c r="C22" i="3"/>
  <c r="C21" i="3"/>
  <c r="C20" i="3"/>
  <c r="C19" i="3"/>
  <c r="C18" i="3"/>
  <c r="C17" i="3"/>
  <c r="C16" i="3"/>
  <c r="A12" i="3"/>
  <c r="E61" i="2" l="1"/>
  <c r="C2" i="2"/>
  <c r="C3" i="2"/>
  <c r="E2" i="2" s="1"/>
  <c r="C4" i="2"/>
  <c r="D4" i="2" s="1"/>
  <c r="C5" i="2"/>
  <c r="E4" i="2" s="1"/>
  <c r="C6" i="2"/>
  <c r="D6" i="2" s="1"/>
  <c r="C7" i="2"/>
  <c r="E6" i="2" s="1"/>
  <c r="C9" i="2"/>
  <c r="D9" i="2" s="1"/>
  <c r="C10" i="2"/>
  <c r="E9" i="2" s="1"/>
  <c r="C11" i="2"/>
  <c r="D11" i="2" s="1"/>
  <c r="C12" i="2"/>
  <c r="E11" i="2" s="1"/>
  <c r="C13" i="2"/>
  <c r="D13" i="2" s="1"/>
  <c r="C14" i="2"/>
  <c r="E13" i="2" s="1"/>
  <c r="C15" i="2"/>
  <c r="D15" i="2" s="1"/>
  <c r="C16" i="2"/>
  <c r="E15" i="2" s="1"/>
  <c r="C17" i="2"/>
  <c r="D17" i="2" s="1"/>
  <c r="C18" i="2"/>
  <c r="E17" i="2" s="1"/>
  <c r="C19" i="2"/>
  <c r="D19" i="2" s="1"/>
  <c r="C20" i="2"/>
  <c r="E19" i="2" s="1"/>
  <c r="C21" i="2"/>
  <c r="D21" i="2" s="1"/>
  <c r="C22" i="2"/>
  <c r="E21" i="2" s="1"/>
  <c r="C23" i="2"/>
  <c r="D23" i="2" s="1"/>
  <c r="C24" i="2"/>
  <c r="E23" i="2" s="1"/>
  <c r="C25" i="2"/>
  <c r="D25" i="2" s="1"/>
  <c r="C26" i="2"/>
  <c r="E25" i="2" s="1"/>
  <c r="C27" i="2"/>
  <c r="D27" i="2" s="1"/>
  <c r="C28" i="2"/>
  <c r="E27" i="2" s="1"/>
  <c r="C29" i="2"/>
  <c r="D29" i="2" s="1"/>
  <c r="C30" i="2"/>
  <c r="E29" i="2" s="1"/>
  <c r="C31" i="2"/>
  <c r="D31" i="2" s="1"/>
  <c r="C32" i="2"/>
  <c r="E31" i="2" s="1"/>
  <c r="C33" i="2"/>
  <c r="D33" i="2" s="1"/>
  <c r="C34" i="2"/>
  <c r="E33" i="2" s="1"/>
  <c r="C35" i="2"/>
  <c r="E34" i="2" s="1"/>
  <c r="C36" i="2"/>
  <c r="E35" i="2" s="1"/>
  <c r="C37" i="2"/>
  <c r="D37" i="2" s="1"/>
  <c r="C38" i="2"/>
  <c r="E37" i="2" s="1"/>
  <c r="C39" i="2"/>
  <c r="D39" i="2" s="1"/>
  <c r="C8" i="2"/>
  <c r="E39" i="2" s="1"/>
  <c r="C40" i="2"/>
  <c r="D40" i="2" s="1"/>
  <c r="C41" i="2"/>
  <c r="E40" i="2" s="1"/>
  <c r="C42" i="2"/>
  <c r="D42" i="2" s="1"/>
  <c r="C43" i="2"/>
  <c r="E42" i="2" s="1"/>
  <c r="C44" i="2"/>
  <c r="E43" i="2" s="1"/>
  <c r="C45" i="2"/>
  <c r="E44" i="2" s="1"/>
  <c r="C46" i="2"/>
  <c r="D46" i="2" s="1"/>
  <c r="C47" i="2"/>
  <c r="E46" i="2" s="1"/>
  <c r="C48" i="2"/>
  <c r="E47" i="2" s="1"/>
  <c r="C49" i="2"/>
  <c r="E48" i="2" s="1"/>
  <c r="C50" i="2"/>
  <c r="D50" i="2" s="1"/>
  <c r="C51" i="2"/>
  <c r="E50" i="2" s="1"/>
  <c r="C52" i="2"/>
  <c r="E51" i="2" s="1"/>
  <c r="C53" i="2"/>
  <c r="E52" i="2" s="1"/>
  <c r="C54" i="2"/>
  <c r="D54" i="2" s="1"/>
  <c r="C55" i="2"/>
  <c r="E54" i="2" s="1"/>
  <c r="C56" i="2"/>
  <c r="E55" i="2" s="1"/>
  <c r="C57" i="2"/>
  <c r="E56" i="2" s="1"/>
  <c r="C58" i="2"/>
  <c r="D58" i="2" s="1"/>
  <c r="C59" i="2"/>
  <c r="E58" i="2" s="1"/>
  <c r="C60" i="2"/>
  <c r="E59" i="2" s="1"/>
  <c r="C61" i="2"/>
  <c r="E60" i="2" s="1"/>
  <c r="A8" i="3"/>
  <c r="A9" i="3"/>
  <c r="A10" i="3"/>
  <c r="A11" i="3"/>
  <c r="A7" i="3"/>
  <c r="A6" i="3"/>
  <c r="A5" i="3"/>
  <c r="A4" i="3"/>
  <c r="A3" i="3"/>
  <c r="A2" i="3"/>
  <c r="A1" i="3"/>
  <c r="E57" i="2" l="1"/>
  <c r="E45" i="2"/>
  <c r="E26" i="2"/>
  <c r="E18" i="2"/>
  <c r="D60" i="2"/>
  <c r="D56" i="2"/>
  <c r="D52" i="2"/>
  <c r="D48" i="2"/>
  <c r="D44" i="2"/>
  <c r="D59" i="2"/>
  <c r="D55" i="2"/>
  <c r="D51" i="2"/>
  <c r="D47" i="2"/>
  <c r="D43" i="2"/>
  <c r="D8" i="2"/>
  <c r="D36" i="2"/>
  <c r="D32" i="2"/>
  <c r="D28" i="2"/>
  <c r="D24" i="2"/>
  <c r="D20" i="2"/>
  <c r="D16" i="2"/>
  <c r="D12" i="2"/>
  <c r="D7" i="2"/>
  <c r="D3" i="2"/>
  <c r="E41" i="2"/>
  <c r="E14" i="2"/>
  <c r="D35" i="2"/>
  <c r="D2" i="2"/>
  <c r="D61" i="2"/>
  <c r="F61" i="2" s="1"/>
  <c r="F60" i="2" s="1"/>
  <c r="D57" i="2"/>
  <c r="D53" i="2"/>
  <c r="D49" i="2"/>
  <c r="D45" i="2"/>
  <c r="D41" i="2"/>
  <c r="D38" i="2"/>
  <c r="D34" i="2"/>
  <c r="D30" i="2"/>
  <c r="D26" i="2"/>
  <c r="D22" i="2"/>
  <c r="D18" i="2"/>
  <c r="D14" i="2"/>
  <c r="D10" i="2"/>
  <c r="D5" i="2"/>
  <c r="E49" i="2"/>
  <c r="E30" i="2"/>
  <c r="E10" i="2"/>
  <c r="E53" i="2"/>
  <c r="E38" i="2"/>
  <c r="E22" i="2"/>
  <c r="E5" i="2"/>
  <c r="E8" i="2"/>
  <c r="E36" i="2"/>
  <c r="E32" i="2"/>
  <c r="E28" i="2"/>
  <c r="E24" i="2"/>
  <c r="E20" i="2"/>
  <c r="E16" i="2"/>
  <c r="E12" i="2"/>
  <c r="E7" i="2"/>
  <c r="E3" i="2"/>
  <c r="F59" i="2" l="1"/>
  <c r="F58" i="2" s="1"/>
  <c r="F57" i="2" s="1"/>
  <c r="F56" i="2" s="1"/>
  <c r="F55" i="2" s="1"/>
  <c r="F54" i="2" s="1"/>
  <c r="F53" i="2" s="1"/>
  <c r="F52" i="2" s="1"/>
  <c r="F51" i="2" s="1"/>
  <c r="F50" i="2" s="1"/>
  <c r="F49" i="2" s="1"/>
  <c r="F48" i="2" s="1"/>
  <c r="F47" i="2" s="1"/>
  <c r="F46" i="2" s="1"/>
  <c r="F45" i="2" s="1"/>
  <c r="F44" i="2" s="1"/>
  <c r="F43" i="2" s="1"/>
  <c r="F42" i="2" s="1"/>
  <c r="F41" i="2" s="1"/>
  <c r="F40" i="2" s="1"/>
  <c r="F8" i="2" s="1"/>
  <c r="F39" i="2" s="1"/>
  <c r="F38" i="2" s="1"/>
  <c r="F37" i="2" s="1"/>
  <c r="F36" i="2" s="1"/>
  <c r="F35" i="2" s="1"/>
  <c r="F34" i="2" s="1"/>
  <c r="F33" i="2" s="1"/>
  <c r="F32" i="2" s="1"/>
  <c r="F31" i="2" s="1"/>
  <c r="F30" i="2" s="1"/>
  <c r="F29" i="2" s="1"/>
  <c r="F28" i="2" s="1"/>
  <c r="F27" i="2" s="1"/>
  <c r="F26" i="2" s="1"/>
  <c r="F25" i="2" s="1"/>
  <c r="F24" i="2" s="1"/>
  <c r="F23" i="2" s="1"/>
  <c r="F22" i="2" s="1"/>
  <c r="F21" i="2" s="1"/>
  <c r="F20" i="2" s="1"/>
  <c r="F19" i="2" s="1"/>
  <c r="F18" i="2" s="1"/>
  <c r="F17" i="2" s="1"/>
  <c r="F16" i="2" s="1"/>
  <c r="F15" i="2" s="1"/>
  <c r="F14" i="2" s="1"/>
  <c r="F13" i="2" s="1"/>
  <c r="F12" i="2" s="1"/>
  <c r="F11" i="2" s="1"/>
  <c r="F10" i="2" s="1"/>
  <c r="F9" i="2" s="1"/>
  <c r="F7" i="2" s="1"/>
  <c r="F6" i="2" s="1"/>
  <c r="F5" i="2" s="1"/>
  <c r="F4" i="2" s="1"/>
  <c r="F3" i="2" s="1"/>
  <c r="F2" i="2" s="1"/>
  <c r="I1" i="2" s="1"/>
</calcChain>
</file>

<file path=xl/connections.xml><?xml version="1.0" encoding="utf-8"?>
<connections xmlns="http://schemas.openxmlformats.org/spreadsheetml/2006/main">
  <connection id="1" keepAlive="1" name="Data" type="5" refreshedVersion="6" savePassword="1" background="1" saveData="1">
    <dbPr connection="Provider=SQLOLEDB.1;Password=Mxddxg.888T;Persist Security Info=True;User ID=M3ReportReader;Initial Catalog=master;Data Source=m3-db01;Use Procedure for Prepare=1;Auto Translate=True;Packet Size=4096;Workstation ID=CASHTRAIN-MS-70;Use Encryption for Data=False;Tag with column collation when possible=False" command="   select [CustID],[BranchName],[LoanID],[FirstName],[LastName],[Phone],[Mobile],[Email],[UnitNumber],[StreetNumber],[StreetName],[City] ,[State],[postcode],[LoanAmount] as 'Last Success Loan Amount'  ,[Frequency],[SchAsEnd],[WeeklySalary],[WeeklyBenefits],[WeeklySurplus] , case when (WeeklySalary &lt;&gt;0 and WeeklyBenefits =0) then 'Salary only'  when (WeeklySalary =0 and WeeklyBenefits &lt;&gt; 0) then 'Benefits only' else 'Both' end as IncomeType ,[PaymentRateForAllSACC],[OtherActiveNonSACC],[NoOfDischargedSACC],[EmploymentType],DischargeDate   FROM [M3_MAIN_REP].[dbo].[temptbl_CashTrainActiveCancelledDischarged]   where BranchName in (' ','Burnie Branch')   and DischargeDate &gt; dateadd(d,-180,getdate())  and lastfundedloan =1 and statusgroup like 'discharge%'   order by  branchname, settleddate"/>
  </connection>
</connections>
</file>

<file path=xl/sharedStrings.xml><?xml version="1.0" encoding="utf-8"?>
<sst xmlns="http://schemas.openxmlformats.org/spreadsheetml/2006/main" count="919" uniqueCount="468">
  <si>
    <t>CustID</t>
  </si>
  <si>
    <t>BranchName</t>
  </si>
  <si>
    <t>LoanID</t>
  </si>
  <si>
    <t>FirstName</t>
  </si>
  <si>
    <t>LastName</t>
  </si>
  <si>
    <t>Phone</t>
  </si>
  <si>
    <t>Mobile</t>
  </si>
  <si>
    <t>Email</t>
  </si>
  <si>
    <t>State</t>
  </si>
  <si>
    <t>Frequency</t>
  </si>
  <si>
    <t>SchAsEnd</t>
  </si>
  <si>
    <t>WeeklySalary</t>
  </si>
  <si>
    <t>WeeklyBenefits</t>
  </si>
  <si>
    <t>WeeklySurplus</t>
  </si>
  <si>
    <t>IncomeType</t>
  </si>
  <si>
    <t>PaymentRateForAllSACC</t>
  </si>
  <si>
    <t>OtherActiveNonSACC</t>
  </si>
  <si>
    <t>NoOfDischargedSACC</t>
  </si>
  <si>
    <t>EmploymentType</t>
  </si>
  <si>
    <t>Cashtrain Branch</t>
  </si>
  <si>
    <t/>
  </si>
  <si>
    <t>QLD</t>
  </si>
  <si>
    <t>Weekly</t>
  </si>
  <si>
    <t>Both</t>
  </si>
  <si>
    <t>Full Time</t>
  </si>
  <si>
    <t>Salary only</t>
  </si>
  <si>
    <t>Glenorchy Branch</t>
  </si>
  <si>
    <t>Benefits only</t>
  </si>
  <si>
    <t>Benefits</t>
  </si>
  <si>
    <t>Mt Druitt Branch</t>
  </si>
  <si>
    <t>Fortnightly</t>
  </si>
  <si>
    <t>Logan Central Branch</t>
  </si>
  <si>
    <t>Salisbury Branch</t>
  </si>
  <si>
    <t>Michael</t>
  </si>
  <si>
    <t>Casual &gt; 20hrs</t>
  </si>
  <si>
    <t>Liverpool Branch</t>
  </si>
  <si>
    <t>Wyong Branch</t>
  </si>
  <si>
    <t>Launceston Branch</t>
  </si>
  <si>
    <t>Toowoomba Branch</t>
  </si>
  <si>
    <t>Strathpine Branch</t>
  </si>
  <si>
    <t>Cairns Branch</t>
  </si>
  <si>
    <t>Melton Branch</t>
  </si>
  <si>
    <t>Ballarat Branch</t>
  </si>
  <si>
    <t>Fairfield Branch</t>
  </si>
  <si>
    <t>Rosny Park Branch</t>
  </si>
  <si>
    <t>Mackay Branch</t>
  </si>
  <si>
    <t>WA</t>
  </si>
  <si>
    <t>Ipswich Branch</t>
  </si>
  <si>
    <t>Hurstville Branch</t>
  </si>
  <si>
    <t>Warrnambool Branch</t>
  </si>
  <si>
    <t>Prospect Branch</t>
  </si>
  <si>
    <t>Parramatta Branch</t>
  </si>
  <si>
    <t>Wynnum Branch</t>
  </si>
  <si>
    <t>Reservoir Branch</t>
  </si>
  <si>
    <t>Dandenong Branch</t>
  </si>
  <si>
    <t>Glenroy Branch</t>
  </si>
  <si>
    <t>Arndale Branch</t>
  </si>
  <si>
    <t>Southport Branch</t>
  </si>
  <si>
    <t xml:space="preserve">Mayfield Branch </t>
  </si>
  <si>
    <t xml:space="preserve">Bendigo Branch </t>
  </si>
  <si>
    <t>Rockhampton Branch</t>
  </si>
  <si>
    <t>Werribee Branch</t>
  </si>
  <si>
    <t>Epping Branch</t>
  </si>
  <si>
    <t>Townsville Branch</t>
  </si>
  <si>
    <t>Joshua</t>
  </si>
  <si>
    <t>Acacia Ridge Branch</t>
  </si>
  <si>
    <t>Direct Unsecured Finance</t>
  </si>
  <si>
    <t>Penrith Branch</t>
  </si>
  <si>
    <t>Wodonga Branch</t>
  </si>
  <si>
    <t>Goodna branch</t>
  </si>
  <si>
    <t>Traralgon Branch</t>
  </si>
  <si>
    <t>Morayfield Branch</t>
  </si>
  <si>
    <t>Cranbourne Branch</t>
  </si>
  <si>
    <t>Sunshine Branch</t>
  </si>
  <si>
    <t>Clayton Branch</t>
  </si>
  <si>
    <t>Andrew</t>
  </si>
  <si>
    <t>Albury Branch</t>
  </si>
  <si>
    <t>Wollongong Branch</t>
  </si>
  <si>
    <t>Dee Why Branch</t>
  </si>
  <si>
    <t>Moonah Branch</t>
  </si>
  <si>
    <t>Darren</t>
  </si>
  <si>
    <t>St Albans Branch</t>
  </si>
  <si>
    <t>Dylan</t>
  </si>
  <si>
    <t>Campbelltown Branch</t>
  </si>
  <si>
    <t>Frankston Branch</t>
  </si>
  <si>
    <t>Boronia Branch</t>
  </si>
  <si>
    <t>Christopher</t>
  </si>
  <si>
    <t>Devonport Branch</t>
  </si>
  <si>
    <t>Shepparton Branch</t>
  </si>
  <si>
    <t>Wagga Wagga Branch</t>
  </si>
  <si>
    <t>Pakenham Branch</t>
  </si>
  <si>
    <t>Jennifer</t>
  </si>
  <si>
    <t>PFC Burnie Branch</t>
  </si>
  <si>
    <t>Karina</t>
  </si>
  <si>
    <t>Roseanne</t>
  </si>
  <si>
    <t>zCLOSED Blacktown Branch</t>
  </si>
  <si>
    <t>zCLOSED Moonee Ponds Branch</t>
  </si>
  <si>
    <t>City</t>
  </si>
  <si>
    <t>UnitNumber</t>
  </si>
  <si>
    <t>StreetNumber</t>
  </si>
  <si>
    <t>StreetName</t>
  </si>
  <si>
    <t>39</t>
  </si>
  <si>
    <t>1</t>
  </si>
  <si>
    <t>3</t>
  </si>
  <si>
    <t>5</t>
  </si>
  <si>
    <t>2</t>
  </si>
  <si>
    <t>8</t>
  </si>
  <si>
    <t>7</t>
  </si>
  <si>
    <t>15</t>
  </si>
  <si>
    <t>9</t>
  </si>
  <si>
    <t>10</t>
  </si>
  <si>
    <t>Geelong Branch</t>
  </si>
  <si>
    <t>4</t>
  </si>
  <si>
    <t>38</t>
  </si>
  <si>
    <t>19</t>
  </si>
  <si>
    <t>6</t>
  </si>
  <si>
    <t>17</t>
  </si>
  <si>
    <t>18</t>
  </si>
  <si>
    <t>14</t>
  </si>
  <si>
    <t>13</t>
  </si>
  <si>
    <t>27</t>
  </si>
  <si>
    <t>24</t>
  </si>
  <si>
    <t>62</t>
  </si>
  <si>
    <t>46</t>
  </si>
  <si>
    <t>55</t>
  </si>
  <si>
    <t>47</t>
  </si>
  <si>
    <t>King Street</t>
  </si>
  <si>
    <t>Money3 Online</t>
  </si>
  <si>
    <t xml:space="preserve">SELECT </t>
  </si>
  <si>
    <t>,case when [SettledDate] is not null then 'settled' else 'not settled' end as ApplicationResult</t>
  </si>
  <si>
    <t>,[Frequency],[ActiveSACCLoans],[WIPLodgedInTheLast6Days] as 'Has Current Application',[SchAsEnd],[WeeklySalary],[WeeklyBenefits],[WeeklySurplus]</t>
  </si>
  <si>
    <t>, case when (WeeklySalary &lt;&gt;0 and WeeklyBenefits =0) then 'Salary only'</t>
  </si>
  <si>
    <t xml:space="preserve"> when (WeeklySalary =0 and WeeklyBenefits &lt;&gt; 0) then 'Benefits only' else 'Both' end as IncomeType</t>
  </si>
  <si>
    <t>,[LastFundedLoan],[PaymentRateForAllSACC],[OtherActiveNonSACC],[NoOfDischargedSACC],[EmploymentType]</t>
  </si>
  <si>
    <t xml:space="preserve">  FROM [M3_MAIN_REP].[dbo].[temptbl_CashTrainActiveCancelledDischarged]</t>
  </si>
  <si>
    <t xml:space="preserve">  where BranchName not in ('money3 recoveries', 'micro motor', 'loan centre', 'collections branch', 'Direct Secured Finance', 'rentals branch')</t>
  </si>
  <si>
    <t xml:space="preserve">  and LodgementDate &gt; dateadd(d,-180,getdate())  and lastfundedloan =1 and statusgroup like 'discharge%'</t>
  </si>
  <si>
    <t xml:space="preserve"> [CustID],[BranchName],[LoanID],[FirstName],[LastName],[Phone],[Mobile],[Email],[UnitNumber],[StreetNumber],[StreetName],[City]</t>
  </si>
  <si>
    <t xml:space="preserve">,[State],[postcode],[StatusShortName],[StatusGroup],[DeclinedCust25Days],[DeclineReason],[LoanAmount]  </t>
  </si>
  <si>
    <t>Row Labels</t>
  </si>
  <si>
    <t>Grand Total</t>
  </si>
  <si>
    <t>Column1</t>
  </si>
  <si>
    <t>Column2</t>
  </si>
  <si>
    <t>Column3</t>
  </si>
  <si>
    <t>Column4</t>
  </si>
  <si>
    <t xml:space="preserve">  order by settleddate, branchname</t>
  </si>
  <si>
    <t>postcode</t>
  </si>
  <si>
    <t>Last Success Loan Amount</t>
  </si>
  <si>
    <t>98</t>
  </si>
  <si>
    <t>Ryan</t>
  </si>
  <si>
    <t>Nathan</t>
  </si>
  <si>
    <t>97</t>
  </si>
  <si>
    <t>PEARSON</t>
  </si>
  <si>
    <t>Sarah</t>
  </si>
  <si>
    <t>Megan</t>
  </si>
  <si>
    <t>Casual &lt; 20hrs</t>
  </si>
  <si>
    <t>Amanda</t>
  </si>
  <si>
    <t>Simone</t>
  </si>
  <si>
    <t>36</t>
  </si>
  <si>
    <t>Zoe</t>
  </si>
  <si>
    <t>South Road</t>
  </si>
  <si>
    <t>6714</t>
  </si>
  <si>
    <t>DischargeDate</t>
  </si>
  <si>
    <t>2016-12-01</t>
  </si>
  <si>
    <t>2017-01-31</t>
  </si>
  <si>
    <t>2017-01-04</t>
  </si>
  <si>
    <t>2016-12-16</t>
  </si>
  <si>
    <t>2017-01-25</t>
  </si>
  <si>
    <t>2017-01-11</t>
  </si>
  <si>
    <t>2017-02-02</t>
  </si>
  <si>
    <t>2016-12-14</t>
  </si>
  <si>
    <t>2017-02-27</t>
  </si>
  <si>
    <t>2016-12-20</t>
  </si>
  <si>
    <t>2017-01-17</t>
  </si>
  <si>
    <t>2017-02-10</t>
  </si>
  <si>
    <t>2017-01-23</t>
  </si>
  <si>
    <t>2016-11-21</t>
  </si>
  <si>
    <t>2017-01-24</t>
  </si>
  <si>
    <t>SMITH</t>
  </si>
  <si>
    <t>Kim</t>
  </si>
  <si>
    <t>POWER</t>
  </si>
  <si>
    <t>Lisa</t>
  </si>
  <si>
    <t>Susan</t>
  </si>
  <si>
    <t>Gregory</t>
  </si>
  <si>
    <t>COOK</t>
  </si>
  <si>
    <t>Angela</t>
  </si>
  <si>
    <t>Burnie Branch</t>
  </si>
  <si>
    <t>2017-04-19</t>
  </si>
  <si>
    <t>2017-04-07</t>
  </si>
  <si>
    <t>Unknown</t>
  </si>
  <si>
    <t>2017-03-20</t>
  </si>
  <si>
    <t>2017-05-02</t>
  </si>
  <si>
    <t>2017-05-03</t>
  </si>
  <si>
    <t>2017-03-24</t>
  </si>
  <si>
    <t>2017-04-12</t>
  </si>
  <si>
    <t>2017-04-13</t>
  </si>
  <si>
    <t>MCDONALD</t>
  </si>
  <si>
    <t>2017-04-18</t>
  </si>
  <si>
    <t>2017-05-11</t>
  </si>
  <si>
    <t>2017-05-12</t>
  </si>
  <si>
    <t>2017-04-21</t>
  </si>
  <si>
    <t>2017-03-23</t>
  </si>
  <si>
    <t>2017-04-03</t>
  </si>
  <si>
    <t>2017-05-09</t>
  </si>
  <si>
    <t>Chantelle</t>
  </si>
  <si>
    <t>2017-04-24</t>
  </si>
  <si>
    <t>THOMPSON</t>
  </si>
  <si>
    <t>Stanley</t>
  </si>
  <si>
    <t>SALTER</t>
  </si>
  <si>
    <t>SUTHERLAND</t>
  </si>
  <si>
    <t>2017-04-28</t>
  </si>
  <si>
    <t>90</t>
  </si>
  <si>
    <t>2017-05-04</t>
  </si>
  <si>
    <t>BARKER</t>
  </si>
  <si>
    <t>2017-04-11</t>
  </si>
  <si>
    <t>121</t>
  </si>
  <si>
    <t>2017-04-04</t>
  </si>
  <si>
    <t>Wayne</t>
  </si>
  <si>
    <t>172</t>
  </si>
  <si>
    <t>OGDEN</t>
  </si>
  <si>
    <t>0364423575</t>
  </si>
  <si>
    <t>0428101463</t>
  </si>
  <si>
    <t>kimtogden@gmail.com</t>
  </si>
  <si>
    <t>Wright Street</t>
  </si>
  <si>
    <t>East Devonport</t>
  </si>
  <si>
    <t>TAS</t>
  </si>
  <si>
    <t>7310</t>
  </si>
  <si>
    <t>AYLETT</t>
  </si>
  <si>
    <t>0475345500</t>
  </si>
  <si>
    <t>relic1706@gmail.com</t>
  </si>
  <si>
    <t>92</t>
  </si>
  <si>
    <t>Stirling Street</t>
  </si>
  <si>
    <t>Acton</t>
  </si>
  <si>
    <t>7320</t>
  </si>
  <si>
    <t>PASCOE</t>
  </si>
  <si>
    <t>0364318493</t>
  </si>
  <si>
    <t>0467551779</t>
  </si>
  <si>
    <t>lisa@birthyourwaytas.com</t>
  </si>
  <si>
    <t>View Road</t>
  </si>
  <si>
    <t>Burnie</t>
  </si>
  <si>
    <t>Kayla</t>
  </si>
  <si>
    <t>LOVELL</t>
  </si>
  <si>
    <t>0364311913</t>
  </si>
  <si>
    <t>0437856968</t>
  </si>
  <si>
    <t>kaylalovell43@yahoo.com</t>
  </si>
  <si>
    <t>Payne Street</t>
  </si>
  <si>
    <t>Trudi-Ann</t>
  </si>
  <si>
    <t>Moodie</t>
  </si>
  <si>
    <t>0364523211</t>
  </si>
  <si>
    <t>0417258246</t>
  </si>
  <si>
    <t>trudiannmoodie@gmail.com</t>
  </si>
  <si>
    <t>Emmett Street</t>
  </si>
  <si>
    <t>Smithton</t>
  </si>
  <si>
    <t>7330</t>
  </si>
  <si>
    <t>OLOUGHLIN</t>
  </si>
  <si>
    <t>0487252591</t>
  </si>
  <si>
    <t>tysonjameshowe2016@gmail.com</t>
  </si>
  <si>
    <t>107</t>
  </si>
  <si>
    <t>Mooreville Road</t>
  </si>
  <si>
    <t>Jason</t>
  </si>
  <si>
    <t>STROCHNETTER</t>
  </si>
  <si>
    <t>0364334547</t>
  </si>
  <si>
    <t>0458104388</t>
  </si>
  <si>
    <t>tracenjase6@hotmail.com</t>
  </si>
  <si>
    <t>Loongana Avenue</t>
  </si>
  <si>
    <t>Shorewell</t>
  </si>
  <si>
    <t>Belinda</t>
  </si>
  <si>
    <t>HOLLAND</t>
  </si>
  <si>
    <t>0364521579</t>
  </si>
  <si>
    <t>0419133216</t>
  </si>
  <si>
    <t>belyndah77@hotmail.com</t>
  </si>
  <si>
    <t>Sampson Avenue</t>
  </si>
  <si>
    <t>SUTER</t>
  </si>
  <si>
    <t>0418529563</t>
  </si>
  <si>
    <t>jenny.33.suter@gmail.com</t>
  </si>
  <si>
    <t>Old Bass Highway</t>
  </si>
  <si>
    <t>Wynyard</t>
  </si>
  <si>
    <t>7325</t>
  </si>
  <si>
    <t>Kobi</t>
  </si>
  <si>
    <t>Milner</t>
  </si>
  <si>
    <t>0499989903</t>
  </si>
  <si>
    <t>quill77@bigpond.com</t>
  </si>
  <si>
    <t>Stewarts Road</t>
  </si>
  <si>
    <t>Yolla</t>
  </si>
  <si>
    <t>2017-03-14</t>
  </si>
  <si>
    <t>Antonia</t>
  </si>
  <si>
    <t>FITZPATRICK</t>
  </si>
  <si>
    <t>0488334475</t>
  </si>
  <si>
    <t>afitzpatrick94@hotmail.com</t>
  </si>
  <si>
    <t>Cabot Street</t>
  </si>
  <si>
    <t>Tammi</t>
  </si>
  <si>
    <t>RICHARDSON</t>
  </si>
  <si>
    <t>0407977322</t>
  </si>
  <si>
    <t>millitammi@gmail.com</t>
  </si>
  <si>
    <t>Verelle Street</t>
  </si>
  <si>
    <t>PORTORS</t>
  </si>
  <si>
    <t>0428425309</t>
  </si>
  <si>
    <t>wportors@icloud.com</t>
  </si>
  <si>
    <t>Martin Street</t>
  </si>
  <si>
    <t>GEE</t>
  </si>
  <si>
    <t>0448546289</t>
  </si>
  <si>
    <t>ryangee@y7mail.com</t>
  </si>
  <si>
    <t>Takone Road</t>
  </si>
  <si>
    <t>Henrietta</t>
  </si>
  <si>
    <t>2017-02-14</t>
  </si>
  <si>
    <t>CONNELL</t>
  </si>
  <si>
    <t>0456784789</t>
  </si>
  <si>
    <t>kegga111@hotmail.com</t>
  </si>
  <si>
    <t>McKenzie Way</t>
  </si>
  <si>
    <t>Bulgarra</t>
  </si>
  <si>
    <t>Millwood</t>
  </si>
  <si>
    <t>0455506747</t>
  </si>
  <si>
    <t>softhand297@gmail.com</t>
  </si>
  <si>
    <t>0403546752</t>
  </si>
  <si>
    <t>angelamcdonald197669@gmail.com</t>
  </si>
  <si>
    <t>Lorymer Place</t>
  </si>
  <si>
    <t>0409426148</t>
  </si>
  <si>
    <t>ajsalter_24@hotmail.com</t>
  </si>
  <si>
    <t>94C</t>
  </si>
  <si>
    <t>Cardigan Street</t>
  </si>
  <si>
    <t>Somerset</t>
  </si>
  <si>
    <t>7322</t>
  </si>
  <si>
    <t>0364522035</t>
  </si>
  <si>
    <t>0498322579</t>
  </si>
  <si>
    <t>Lialeeta Crescent</t>
  </si>
  <si>
    <t>Penelope</t>
  </si>
  <si>
    <t>GARRETT</t>
  </si>
  <si>
    <t>0364318097</t>
  </si>
  <si>
    <t>0459049540</t>
  </si>
  <si>
    <t>pgarrett925@gmail.com</t>
  </si>
  <si>
    <t>Turrung Street</t>
  </si>
  <si>
    <t>Cooee</t>
  </si>
  <si>
    <t>SPILLER</t>
  </si>
  <si>
    <t>0488197388</t>
  </si>
  <si>
    <t>chrisspiller79@hotmail.com</t>
  </si>
  <si>
    <t>Melli Court</t>
  </si>
  <si>
    <t>Penguin</t>
  </si>
  <si>
    <t>7316</t>
  </si>
  <si>
    <t>0438836174</t>
  </si>
  <si>
    <t>universalmakers@hotmail.com</t>
  </si>
  <si>
    <t>Sampson Street</t>
  </si>
  <si>
    <t>Hillcrest</t>
  </si>
  <si>
    <t>MITCHENER</t>
  </si>
  <si>
    <t>joshken1998@gmail.com</t>
  </si>
  <si>
    <t>Kerrison Court</t>
  </si>
  <si>
    <t>Waratah</t>
  </si>
  <si>
    <t>7321</t>
  </si>
  <si>
    <t>RODGERS</t>
  </si>
  <si>
    <t>0458525806</t>
  </si>
  <si>
    <t>kas.rodgerz@gmail.com</t>
  </si>
  <si>
    <t>Bowick Court</t>
  </si>
  <si>
    <t>Debbie</t>
  </si>
  <si>
    <t>VINCENT</t>
  </si>
  <si>
    <t>0364421551</t>
  </si>
  <si>
    <t>0488306619</t>
  </si>
  <si>
    <t>debbie.vincent@ths.tas.gov.au</t>
  </si>
  <si>
    <t>Harold</t>
  </si>
  <si>
    <t>WIGG</t>
  </si>
  <si>
    <t>0429875070</t>
  </si>
  <si>
    <t>tonyfraser@commander.net.au</t>
  </si>
  <si>
    <t>Main Road</t>
  </si>
  <si>
    <t>7331</t>
  </si>
  <si>
    <t>Hingston</t>
  </si>
  <si>
    <t>0497622533</t>
  </si>
  <si>
    <t>gobsmacked@hotmail.com</t>
  </si>
  <si>
    <t>Ironcliffe Court</t>
  </si>
  <si>
    <t>Viney</t>
  </si>
  <si>
    <t>0474266115</t>
  </si>
  <si>
    <t>roseyangels123@gmail.com</t>
  </si>
  <si>
    <t>88-90</t>
  </si>
  <si>
    <t>Bass Highway</t>
  </si>
  <si>
    <t>Gerrard</t>
  </si>
  <si>
    <t>RICHARDS</t>
  </si>
  <si>
    <t>0364314361</t>
  </si>
  <si>
    <t>richards.gerrard@yahoo.com.au</t>
  </si>
  <si>
    <t>Stitz Street</t>
  </si>
  <si>
    <t>Gerhard</t>
  </si>
  <si>
    <t>OESER</t>
  </si>
  <si>
    <t>0487183069</t>
  </si>
  <si>
    <t>gerhardoeser@y7mail.com</t>
  </si>
  <si>
    <t>129</t>
  </si>
  <si>
    <t>Laoona Road</t>
  </si>
  <si>
    <t>Ridgley</t>
  </si>
  <si>
    <t>Tanisha</t>
  </si>
  <si>
    <t>DONOVAN</t>
  </si>
  <si>
    <t>0458469429</t>
  </si>
  <si>
    <t>tanisha_donovan_91@hotmail.com</t>
  </si>
  <si>
    <t>Kree</t>
  </si>
  <si>
    <t>0438898594</t>
  </si>
  <si>
    <t>Kreepearson@hotmail.com</t>
  </si>
  <si>
    <t>Yaxley Street</t>
  </si>
  <si>
    <t>COHEN</t>
  </si>
  <si>
    <t>0400991489</t>
  </si>
  <si>
    <t>michaelcohen66@yahoo.com.au</t>
  </si>
  <si>
    <t>Athol Street</t>
  </si>
  <si>
    <t>SIGGINS</t>
  </si>
  <si>
    <t>0477968738</t>
  </si>
  <si>
    <t>megan_siggins@hotmail.com</t>
  </si>
  <si>
    <t>Montello</t>
  </si>
  <si>
    <t>Edith</t>
  </si>
  <si>
    <t>0364522907Monica</t>
  </si>
  <si>
    <t>ianmonica@internode.on.net</t>
  </si>
  <si>
    <t>2322</t>
  </si>
  <si>
    <t>Edith Creek</t>
  </si>
  <si>
    <t>Cody</t>
  </si>
  <si>
    <t>SHEEHAN</t>
  </si>
  <si>
    <t>0475915054</t>
  </si>
  <si>
    <t>cody_sheehan@outlook.com</t>
  </si>
  <si>
    <t>Simpson Street</t>
  </si>
  <si>
    <t>Deborah</t>
  </si>
  <si>
    <t>0457445794</t>
  </si>
  <si>
    <t>deborahthompson202@gmail.com</t>
  </si>
  <si>
    <t>Lane Street</t>
  </si>
  <si>
    <t>0472981101</t>
  </si>
  <si>
    <t>sarah.power2012@gmail.com</t>
  </si>
  <si>
    <t>Colegrave Road</t>
  </si>
  <si>
    <t>Upper Burnie</t>
  </si>
  <si>
    <t>Kayden</t>
  </si>
  <si>
    <t>LAVELL</t>
  </si>
  <si>
    <t>0499996377</t>
  </si>
  <si>
    <t>kayden.lavell@hotmail.com</t>
  </si>
  <si>
    <t>170</t>
  </si>
  <si>
    <t>Old Surrey Road</t>
  </si>
  <si>
    <t>Havenview</t>
  </si>
  <si>
    <t>Ian</t>
  </si>
  <si>
    <t>WHYMAN</t>
  </si>
  <si>
    <t>0429694015</t>
  </si>
  <si>
    <t>handi1@iinet.net.au</t>
  </si>
  <si>
    <t>Mount Road Drive</t>
  </si>
  <si>
    <t>Monique</t>
  </si>
  <si>
    <t>0475376912</t>
  </si>
  <si>
    <t>moniquecook20@gmail.com</t>
  </si>
  <si>
    <t>Magnet Court</t>
  </si>
  <si>
    <t>Ricky</t>
  </si>
  <si>
    <t>FREESTONE</t>
  </si>
  <si>
    <t>0499291363</t>
  </si>
  <si>
    <t>rickyfreestone2121@outlook.com</t>
  </si>
  <si>
    <t>Norton Court</t>
  </si>
  <si>
    <t>Andrea</t>
  </si>
  <si>
    <t>0499822786</t>
  </si>
  <si>
    <t>ajportors@hotmail.com</t>
  </si>
  <si>
    <t>Petunia Street</t>
  </si>
  <si>
    <t>Layne</t>
  </si>
  <si>
    <t>GARDAM</t>
  </si>
  <si>
    <t>0497898427</t>
  </si>
  <si>
    <t>gardy07@gmail.com</t>
  </si>
  <si>
    <t>Gibbons Street</t>
  </si>
  <si>
    <t>Declan</t>
  </si>
  <si>
    <t>GAUNT</t>
  </si>
  <si>
    <t>0432017654</t>
  </si>
  <si>
    <t>georgiasuzzaneoke@hotmail.com</t>
  </si>
  <si>
    <t>Patrick Street</t>
  </si>
  <si>
    <t>Laidley</t>
  </si>
  <si>
    <t>4341</t>
  </si>
  <si>
    <t>0429405112</t>
  </si>
  <si>
    <t>Sutherland29111991@outlook.com</t>
  </si>
  <si>
    <t>STREETS</t>
  </si>
  <si>
    <t>0417809597(GF;apos;s)</t>
  </si>
  <si>
    <t>andrewstreets1995@gmail.com</t>
  </si>
  <si>
    <t>Lucas Place</t>
  </si>
  <si>
    <t>Payton</t>
  </si>
  <si>
    <t>Johnson</t>
  </si>
  <si>
    <t>0403585952</t>
  </si>
  <si>
    <t>PaytoonLvsDarcyy@gmail.com</t>
  </si>
  <si>
    <t>Hutchinson Street</t>
  </si>
  <si>
    <t>Wilton</t>
  </si>
  <si>
    <t>0417387370</t>
  </si>
  <si>
    <t>Simonewilton5@gmail.com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</si>
</sst>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 wrapText="1"/>
    </xf>
    <xf numFmtId="9" fontId="0" fillId="0" borderId="0" xfId="1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61913</xdr:rowOff>
        </xdr:from>
        <xdr:to>
          <xdr:col>12</xdr:col>
          <xdr:colOff>542925</xdr:colOff>
          <xdr:row>5</xdr:row>
          <xdr:rowOff>128588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mma Wang" refreshedDate="42870.608207407407" createdVersion="6" refreshedVersion="6" minRefreshableVersion="3" recordCount="60">
  <cacheSource type="worksheet">
    <worksheetSource name="Table2"/>
  </cacheSource>
  <cacheFields count="5">
    <cacheField name="BranchName" numFmtId="0">
      <sharedItems count="61">
        <s v="Acacia Ridge Branch"/>
        <s v="Albury Branch"/>
        <s v="Arndale Branch"/>
        <s v="Ballarat Branch"/>
        <s v="Bendigo Branch "/>
        <s v="Boronia Branch"/>
        <s v="Cairns Branch"/>
        <s v="Campbelltown Branch"/>
        <s v="Cashtrain Branch"/>
        <s v="Clayton Branch"/>
        <s v="Cranbourne Branch"/>
        <s v="Dandenong Branch"/>
        <s v="Dee Why Branch"/>
        <s v="Devonport Branch"/>
        <s v="Direct Unsecured Finance"/>
        <s v="Epping Branch"/>
        <s v="Fairfield Branch"/>
        <s v="Frankston Branch"/>
        <s v="Geelong Branch"/>
        <s v="Glenorchy Branch"/>
        <s v="Glenroy Branch"/>
        <s v="Goodna branch"/>
        <s v="Hurstville Branch"/>
        <s v="Ipswich Branch"/>
        <s v="Launceston Branch"/>
        <s v="Liverpool Branch"/>
        <s v="Logan Central Branch"/>
        <s v="Mackay Branch"/>
        <s v="Mayfield Branch "/>
        <s v="Melton Branch"/>
        <s v="Money3 Online"/>
        <s v="Moonah Branch"/>
        <s v="Morayfield Branch"/>
        <s v="Mt Druitt Branch"/>
        <s v="Pakenham Branch"/>
        <s v="Parramatta Branch"/>
        <s v="Penrith Branch"/>
        <s v="Burnie Branch"/>
        <s v="Prospect Branch"/>
        <s v="Reservoir Branch"/>
        <s v="Rockhampton Branch"/>
        <s v="Rosny Park Branch"/>
        <s v="Salisbury Branch"/>
        <s v="Shepparton Branch"/>
        <s v="Southport Branch"/>
        <s v="St Albans Branch"/>
        <s v="Strathpine Branch"/>
        <s v="Sunshine Branch"/>
        <s v="Toowoomba Branch"/>
        <s v="Townsville Branch"/>
        <s v="Traralgon Branch"/>
        <s v="Wagga Wagga Branch"/>
        <s v="Warrnambool Branch"/>
        <s v="Werribee Branch"/>
        <s v="Wodonga Branch"/>
        <s v="Wollongong Branch"/>
        <s v="Wynnum Branch"/>
        <s v="Wyong Branch"/>
        <s v="zCLOSED Blacktown Branch"/>
        <s v="zCLOSED Moonee Ponds Branch"/>
        <s v="PFC Burnie Branch" u="1"/>
      </sharedItems>
    </cacheField>
    <cacheField name="Column1" numFmtId="0">
      <sharedItems containsSemiMixedTypes="0" containsString="0" containsNumber="1" containsInteger="1" minValue="0" maxValue="6"/>
    </cacheField>
    <cacheField name="Column2" numFmtId="0">
      <sharedItems/>
    </cacheField>
    <cacheField name="Column3" numFmtId="0">
      <sharedItems/>
    </cacheField>
    <cacheField name="Column4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">
  <r>
    <x v="0"/>
    <n v="4"/>
    <s v="'Acacia Ridge Branch'"/>
    <s v=","/>
    <s v="'Acacia Ridge Branch','Albury Branch','Arndale Branch'"/>
  </r>
  <r>
    <x v="1"/>
    <n v="5"/>
    <s v="'Albury Branch'"/>
    <s v=","/>
    <s v="'Albury Branch','Arndale Branch'"/>
  </r>
  <r>
    <x v="2"/>
    <n v="6"/>
    <s v="'Arndale Branch'"/>
    <s v=""/>
    <s v="'Arndale Branch'"/>
  </r>
  <r>
    <x v="3"/>
    <n v="0"/>
    <s v=""/>
    <s v=""/>
    <s v=""/>
  </r>
  <r>
    <x v="4"/>
    <n v="0"/>
    <s v=""/>
    <s v=""/>
    <s v=""/>
  </r>
  <r>
    <x v="5"/>
    <n v="0"/>
    <s v=""/>
    <s v=""/>
    <s v=""/>
  </r>
  <r>
    <x v="6"/>
    <n v="0"/>
    <s v=""/>
    <s v=""/>
    <s v=""/>
  </r>
  <r>
    <x v="7"/>
    <n v="0"/>
    <s v=""/>
    <s v=""/>
    <s v=""/>
  </r>
  <r>
    <x v="8"/>
    <n v="0"/>
    <s v=""/>
    <s v=""/>
    <s v=""/>
  </r>
  <r>
    <x v="9"/>
    <n v="0"/>
    <s v=""/>
    <s v=""/>
    <s v=""/>
  </r>
  <r>
    <x v="10"/>
    <n v="0"/>
    <s v=""/>
    <s v=""/>
    <s v=""/>
  </r>
  <r>
    <x v="11"/>
    <n v="0"/>
    <s v=""/>
    <s v=""/>
    <s v=""/>
  </r>
  <r>
    <x v="12"/>
    <n v="0"/>
    <s v=""/>
    <s v=""/>
    <s v=""/>
  </r>
  <r>
    <x v="13"/>
    <n v="0"/>
    <s v=""/>
    <s v=""/>
    <s v=""/>
  </r>
  <r>
    <x v="14"/>
    <n v="0"/>
    <s v=""/>
    <s v=""/>
    <s v=""/>
  </r>
  <r>
    <x v="15"/>
    <n v="0"/>
    <s v=""/>
    <s v=""/>
    <s v=""/>
  </r>
  <r>
    <x v="16"/>
    <n v="0"/>
    <s v=""/>
    <s v=""/>
    <s v=""/>
  </r>
  <r>
    <x v="17"/>
    <n v="0"/>
    <s v=""/>
    <s v=""/>
    <s v=""/>
  </r>
  <r>
    <x v="18"/>
    <n v="0"/>
    <s v=""/>
    <s v=""/>
    <s v=""/>
  </r>
  <r>
    <x v="19"/>
    <n v="0"/>
    <s v=""/>
    <s v=""/>
    <s v=""/>
  </r>
  <r>
    <x v="20"/>
    <n v="0"/>
    <s v=""/>
    <s v=""/>
    <s v=""/>
  </r>
  <r>
    <x v="21"/>
    <n v="0"/>
    <s v=""/>
    <s v=""/>
    <s v=""/>
  </r>
  <r>
    <x v="22"/>
    <n v="0"/>
    <s v=""/>
    <s v=""/>
    <s v=""/>
  </r>
  <r>
    <x v="23"/>
    <n v="0"/>
    <s v=""/>
    <s v=""/>
    <s v=""/>
  </r>
  <r>
    <x v="24"/>
    <n v="0"/>
    <s v=""/>
    <s v=""/>
    <s v=""/>
  </r>
  <r>
    <x v="25"/>
    <n v="0"/>
    <s v=""/>
    <s v=""/>
    <s v=""/>
  </r>
  <r>
    <x v="26"/>
    <n v="0"/>
    <s v=""/>
    <s v=""/>
    <s v=""/>
  </r>
  <r>
    <x v="27"/>
    <n v="0"/>
    <s v=""/>
    <s v=""/>
    <s v=""/>
  </r>
  <r>
    <x v="28"/>
    <n v="0"/>
    <s v=""/>
    <s v=""/>
    <s v=""/>
  </r>
  <r>
    <x v="29"/>
    <n v="0"/>
    <s v=""/>
    <s v=""/>
    <s v=""/>
  </r>
  <r>
    <x v="30"/>
    <n v="0"/>
    <s v=""/>
    <s v=""/>
    <s v=""/>
  </r>
  <r>
    <x v="31"/>
    <n v="0"/>
    <s v=""/>
    <s v=""/>
    <s v=""/>
  </r>
  <r>
    <x v="32"/>
    <n v="0"/>
    <s v=""/>
    <s v=""/>
    <s v=""/>
  </r>
  <r>
    <x v="33"/>
    <n v="0"/>
    <s v=""/>
    <s v=""/>
    <s v=""/>
  </r>
  <r>
    <x v="34"/>
    <n v="0"/>
    <s v=""/>
    <s v=""/>
    <s v=""/>
  </r>
  <r>
    <x v="35"/>
    <n v="0"/>
    <s v=""/>
    <s v=""/>
    <s v=""/>
  </r>
  <r>
    <x v="36"/>
    <n v="0"/>
    <s v=""/>
    <s v=""/>
    <s v=""/>
  </r>
  <r>
    <x v="37"/>
    <n v="0"/>
    <s v=""/>
    <s v=""/>
    <s v=""/>
  </r>
  <r>
    <x v="38"/>
    <n v="0"/>
    <s v=""/>
    <s v=""/>
    <s v=""/>
  </r>
  <r>
    <x v="39"/>
    <n v="0"/>
    <s v=""/>
    <s v=""/>
    <s v=""/>
  </r>
  <r>
    <x v="40"/>
    <n v="0"/>
    <s v=""/>
    <s v=""/>
    <s v=""/>
  </r>
  <r>
    <x v="41"/>
    <n v="0"/>
    <s v=""/>
    <s v=""/>
    <s v=""/>
  </r>
  <r>
    <x v="42"/>
    <n v="0"/>
    <s v=""/>
    <s v=""/>
    <s v=""/>
  </r>
  <r>
    <x v="43"/>
    <n v="0"/>
    <s v=""/>
    <s v=""/>
    <s v=""/>
  </r>
  <r>
    <x v="44"/>
    <n v="0"/>
    <s v=""/>
    <s v=""/>
    <s v=""/>
  </r>
  <r>
    <x v="45"/>
    <n v="0"/>
    <s v=""/>
    <s v=""/>
    <s v=""/>
  </r>
  <r>
    <x v="46"/>
    <n v="0"/>
    <s v=""/>
    <s v=""/>
    <s v=""/>
  </r>
  <r>
    <x v="47"/>
    <n v="0"/>
    <s v=""/>
    <s v=""/>
    <s v=""/>
  </r>
  <r>
    <x v="48"/>
    <n v="0"/>
    <s v=""/>
    <s v=""/>
    <s v=""/>
  </r>
  <r>
    <x v="49"/>
    <n v="0"/>
    <s v=""/>
    <s v=""/>
    <s v=""/>
  </r>
  <r>
    <x v="50"/>
    <n v="0"/>
    <s v=""/>
    <s v=""/>
    <s v=""/>
  </r>
  <r>
    <x v="51"/>
    <n v="0"/>
    <s v=""/>
    <s v=""/>
    <s v=""/>
  </r>
  <r>
    <x v="52"/>
    <n v="0"/>
    <s v=""/>
    <s v=""/>
    <s v=""/>
  </r>
  <r>
    <x v="53"/>
    <n v="0"/>
    <s v=""/>
    <s v=""/>
    <s v=""/>
  </r>
  <r>
    <x v="54"/>
    <n v="0"/>
    <s v=""/>
    <s v=""/>
    <s v=""/>
  </r>
  <r>
    <x v="55"/>
    <n v="0"/>
    <s v=""/>
    <s v=""/>
    <s v=""/>
  </r>
  <r>
    <x v="56"/>
    <n v="0"/>
    <s v=""/>
    <s v=""/>
    <s v=""/>
  </r>
  <r>
    <x v="57"/>
    <n v="0"/>
    <s v=""/>
    <s v=""/>
    <s v=""/>
  </r>
  <r>
    <x v="58"/>
    <n v="0"/>
    <s v=""/>
    <s v=""/>
    <s v=""/>
  </r>
  <r>
    <x v="59"/>
    <n v="0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3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J3:J5" firstHeaderRow="1" firstDataRow="1" firstDataCol="1"/>
  <pivotFields count="5">
    <pivotField axis="axisRow" multipleItemSelectionAllowed="1" showAll="0">
      <items count="62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m="1" x="60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x="37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">
    <i>
      <x v="6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3-db01 master CommandLog" connectionId="1" autoFormatId="16" applyNumberFormats="0" applyBorderFormats="0" applyFontFormats="0" applyPatternFormats="0" applyAlignmentFormats="0" applyWidthHeightFormats="0">
  <queryTableRefresh nextId="44">
    <queryTableFields count="26">
      <queryTableField id="1" name="CustID" tableColumnId="1"/>
      <queryTableField id="2" name="BranchName" tableColumnId="2"/>
      <queryTableField id="3" name="LoanID" tableColumnId="3"/>
      <queryTableField id="4" name="FirstName" tableColumnId="4"/>
      <queryTableField id="5" name="LastName" tableColumnId="5"/>
      <queryTableField id="6" name="Phone" tableColumnId="6"/>
      <queryTableField id="7" name="Mobile" tableColumnId="7"/>
      <queryTableField id="8" name="Email" tableColumnId="8"/>
      <queryTableField id="20" name="Frequency" tableColumnId="20"/>
      <queryTableField id="41" name="Last Success Loan Amount" tableColumnId="10"/>
      <queryTableField id="23" name="SchAsEnd" tableColumnId="23"/>
      <queryTableField id="24" name="WeeklySalary" tableColumnId="24"/>
      <queryTableField id="25" name="WeeklyBenefits" tableColumnId="25"/>
      <queryTableField id="26" name="WeeklySurplus" tableColumnId="26"/>
      <queryTableField id="27" name="IncomeType" tableColumnId="27"/>
      <queryTableField id="29" name="PaymentRateForAllSACC" tableColumnId="29"/>
      <queryTableField id="30" name="OtherActiveNonSACC" tableColumnId="30"/>
      <queryTableField id="31" name="NoOfDischargedSACC" tableColumnId="31"/>
      <queryTableField id="32" name="EmploymentType" tableColumnId="32"/>
      <queryTableField id="34" name="UnitNumber" tableColumnId="34"/>
      <queryTableField id="35" name="StreetNumber" tableColumnId="35"/>
      <queryTableField id="36" name="StreetName" tableColumnId="36"/>
      <queryTableField id="37" name="City" tableColumnId="37"/>
      <queryTableField id="12" name="State" tableColumnId="12"/>
      <queryTableField id="40" name="postcode" tableColumnId="9"/>
      <queryTableField id="43" name="DischargeDat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m3_db01_master_CommandLog" displayName="Table_m3_db01_master_CommandLog" ref="A1:Z50" tableType="queryTable" totalsRowShown="0" headerRowDxfId="5">
  <autoFilter ref="A1:Z50"/>
  <tableColumns count="26">
    <tableColumn id="1" uniqueName="1" name="CustID" queryTableFieldId="1"/>
    <tableColumn id="2" uniqueName="2" name="BranchName" queryTableFieldId="2"/>
    <tableColumn id="3" uniqueName="3" name="LoanID" queryTableFieldId="3"/>
    <tableColumn id="4" uniqueName="4" name="FirstName" queryTableFieldId="4"/>
    <tableColumn id="5" uniqueName="5" name="LastName" queryTableFieldId="5"/>
    <tableColumn id="6" uniqueName="6" name="Phone" queryTableFieldId="6"/>
    <tableColumn id="7" uniqueName="7" name="Mobile" queryTableFieldId="7"/>
    <tableColumn id="8" uniqueName="8" name="Email" queryTableFieldId="8"/>
    <tableColumn id="20" uniqueName="20" name="Frequency" queryTableFieldId="20"/>
    <tableColumn id="10" uniqueName="10" name="Last Success Loan Amount" queryTableFieldId="41"/>
    <tableColumn id="23" uniqueName="23" name="SchAsEnd" queryTableFieldId="23"/>
    <tableColumn id="24" uniqueName="24" name="WeeklySalary" queryTableFieldId="24"/>
    <tableColumn id="25" uniqueName="25" name="WeeklyBenefits" queryTableFieldId="25"/>
    <tableColumn id="26" uniqueName="26" name="WeeklySurplus" queryTableFieldId="26"/>
    <tableColumn id="27" uniqueName="27" name="IncomeType" queryTableFieldId="27"/>
    <tableColumn id="29" uniqueName="29" name="PaymentRateForAllSACC" queryTableFieldId="29" dataDxfId="0" dataCellStyle="Percent"/>
    <tableColumn id="30" uniqueName="30" name="OtherActiveNonSACC" queryTableFieldId="30"/>
    <tableColumn id="31" uniqueName="31" name="NoOfDischargedSACC" queryTableFieldId="31"/>
    <tableColumn id="32" uniqueName="32" name="EmploymentType" queryTableFieldId="32"/>
    <tableColumn id="34" uniqueName="34" name="UnitNumber" queryTableFieldId="34"/>
    <tableColumn id="35" uniqueName="35" name="StreetNumber" queryTableFieldId="35"/>
    <tableColumn id="36" uniqueName="36" name="StreetName" queryTableFieldId="36"/>
    <tableColumn id="37" uniqueName="37" name="City" queryTableFieldId="37"/>
    <tableColumn id="12" uniqueName="12" name="State" queryTableFieldId="12"/>
    <tableColumn id="9" uniqueName="9" name="postcode" queryTableFieldId="40"/>
    <tableColumn id="11" uniqueName="11" name="DischargeDate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F61" totalsRowShown="0">
  <autoFilter ref="B1:F61"/>
  <sortState ref="B2:B61">
    <sortCondition ref="B1:B61"/>
  </sortState>
  <tableColumns count="5">
    <tableColumn id="1" name="BranchName"/>
    <tableColumn id="2" name="Column1" dataDxfId="4">
      <calculatedColumnFormula>IFERROR(MATCH(Table2[[#This Row],[BranchName]],J:J,0),0)</calculatedColumnFormula>
    </tableColumn>
    <tableColumn id="3" name="Column2" dataDxfId="3">
      <calculatedColumnFormula>IF(Table2[[#This Row],[Column1]]&lt;&gt;0,"'"&amp;Table2[[#This Row],[BranchName]]&amp;"'","")</calculatedColumnFormula>
    </tableColumn>
    <tableColumn id="4" name="Column3" dataDxfId="2">
      <calculatedColumnFormula>IF(C3=0,"",",")</calculatedColumnFormula>
    </tableColumn>
    <tableColumn id="5" name="Column4" dataDxfId="1">
      <calculatedColumnFormula>+Table2[[#This Row],[Column2]]&amp;Table2[[#This Row],[Column3]]&amp;F3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workbookViewId="0">
      <selection activeCell="C16" sqref="C16:C26"/>
    </sheetView>
  </sheetViews>
  <sheetFormatPr defaultRowHeight="14.25" x14ac:dyDescent="0.45"/>
  <cols>
    <col min="2" max="2" width="14.46484375" customWidth="1"/>
    <col min="3" max="3" width="78.796875" customWidth="1"/>
  </cols>
  <sheetData>
    <row r="1" spans="1:12" x14ac:dyDescent="0.45">
      <c r="A1" t="str">
        <f t="shared" ref="A1:A12" si="0">""" "&amp;B1&amp;""""&amp;" &amp; _"</f>
        <v>" SELECT " &amp; _</v>
      </c>
      <c r="B1" t="s">
        <v>128</v>
      </c>
      <c r="L1" t="s">
        <v>1</v>
      </c>
    </row>
    <row r="2" spans="1:12" x14ac:dyDescent="0.45">
      <c r="A2" t="str">
        <f t="shared" si="0"/>
        <v>"  [CustID],[BranchName],[LoanID],[FirstName],[LastName],[Phone],[Mobile],[Email],[UnitNumber],[StreetNumber],[StreetName],[City]" &amp; _</v>
      </c>
      <c r="B2" t="s">
        <v>137</v>
      </c>
      <c r="L2" t="s">
        <v>65</v>
      </c>
    </row>
    <row r="3" spans="1:12" x14ac:dyDescent="0.45">
      <c r="A3" t="str">
        <f t="shared" si="0"/>
        <v>" ,[State],[postcode],[StatusShortName],[StatusGroup],[DeclinedCust25Days],[DeclineReason],[LoanAmount]  " &amp; _</v>
      </c>
      <c r="B3" t="s">
        <v>138</v>
      </c>
      <c r="L3" t="s">
        <v>76</v>
      </c>
    </row>
    <row r="4" spans="1:12" x14ac:dyDescent="0.45">
      <c r="A4" t="str">
        <f t="shared" si="0"/>
        <v>" ,case when [SettledDate] is not null then 'settled' else 'not settled' end as ApplicationResult" &amp; _</v>
      </c>
      <c r="B4" t="s">
        <v>129</v>
      </c>
      <c r="L4" t="s">
        <v>56</v>
      </c>
    </row>
    <row r="5" spans="1:12" x14ac:dyDescent="0.45">
      <c r="A5" t="str">
        <f t="shared" si="0"/>
        <v>" ,[Frequency],[ActiveSACCLoans],[WIPLodgedInTheLast6Days] as 'Has Current Application',[SchAsEnd],[WeeklySalary],[WeeklyBenefits],[WeeklySurplus]" &amp; _</v>
      </c>
      <c r="B5" t="s">
        <v>130</v>
      </c>
      <c r="L5" t="s">
        <v>42</v>
      </c>
    </row>
    <row r="6" spans="1:12" x14ac:dyDescent="0.45">
      <c r="A6" t="str">
        <f t="shared" si="0"/>
        <v>" , case when (WeeklySalary &lt;&gt;0 and WeeklyBenefits =0) then 'Salary only'" &amp; _</v>
      </c>
      <c r="B6" t="s">
        <v>131</v>
      </c>
      <c r="L6" t="s">
        <v>59</v>
      </c>
    </row>
    <row r="7" spans="1:12" x14ac:dyDescent="0.45">
      <c r="A7" t="str">
        <f t="shared" si="0"/>
        <v>"  when (WeeklySalary =0 and WeeklyBenefits &lt;&gt; 0) then 'Benefits only' else 'Both' end as IncomeType" &amp; _</v>
      </c>
      <c r="B7" t="s">
        <v>132</v>
      </c>
      <c r="L7" t="s">
        <v>85</v>
      </c>
    </row>
    <row r="8" spans="1:12" x14ac:dyDescent="0.45">
      <c r="A8" t="str">
        <f t="shared" si="0"/>
        <v>" ,[LastFundedLoan],[PaymentRateForAllSACC],[OtherActiveNonSACC],[NoOfDischargedSACC],[EmploymentType]" &amp; _</v>
      </c>
      <c r="B8" t="s">
        <v>133</v>
      </c>
      <c r="L8" t="s">
        <v>40</v>
      </c>
    </row>
    <row r="9" spans="1:12" x14ac:dyDescent="0.45">
      <c r="A9" t="str">
        <f t="shared" si="0"/>
        <v>"   FROM [M3_MAIN_REP].[dbo].[temptbl_CashTrainActiveCancelledDischarged]" &amp; _</v>
      </c>
      <c r="B9" t="s">
        <v>134</v>
      </c>
      <c r="L9" t="s">
        <v>83</v>
      </c>
    </row>
    <row r="10" spans="1:12" x14ac:dyDescent="0.45">
      <c r="A10" t="str">
        <f t="shared" si="0"/>
        <v>"   where BranchName not in ('money3 recoveries', 'micro motor', 'loan centre', 'collections branch', 'Direct Secured Finance', 'rentals branch')" &amp; _</v>
      </c>
      <c r="B10" t="s">
        <v>135</v>
      </c>
      <c r="L10" t="s">
        <v>19</v>
      </c>
    </row>
    <row r="11" spans="1:12" x14ac:dyDescent="0.45">
      <c r="A11" t="str">
        <f t="shared" si="0"/>
        <v>"   and LodgementDate &gt; dateadd(d,-180,getdate())  and lastfundedloan =1 and statusgroup like 'discharge%'" &amp; _</v>
      </c>
      <c r="B11" t="s">
        <v>136</v>
      </c>
      <c r="L11" t="s">
        <v>74</v>
      </c>
    </row>
    <row r="12" spans="1:12" x14ac:dyDescent="0.45">
      <c r="A12" t="str">
        <f t="shared" si="0"/>
        <v>"   order by settleddate, branchname" &amp; _</v>
      </c>
      <c r="B12" t="s">
        <v>145</v>
      </c>
      <c r="L12" t="s">
        <v>72</v>
      </c>
    </row>
    <row r="13" spans="1:12" x14ac:dyDescent="0.45">
      <c r="L13" t="s">
        <v>54</v>
      </c>
    </row>
    <row r="14" spans="1:12" x14ac:dyDescent="0.45">
      <c r="L14" t="s">
        <v>78</v>
      </c>
    </row>
    <row r="15" spans="1:12" x14ac:dyDescent="0.45">
      <c r="L15" t="s">
        <v>87</v>
      </c>
    </row>
    <row r="16" spans="1:12" x14ac:dyDescent="0.45">
      <c r="C16" t="str">
        <f t="shared" ref="C16:C26" si="1">""" "&amp;D16&amp;""""&amp;" &amp; _"</f>
        <v>" " &amp; _</v>
      </c>
      <c r="L16" t="s">
        <v>66</v>
      </c>
    </row>
    <row r="17" spans="3:12" x14ac:dyDescent="0.45">
      <c r="C17" t="str">
        <f t="shared" si="1"/>
        <v>" " &amp; _</v>
      </c>
      <c r="L17" t="s">
        <v>62</v>
      </c>
    </row>
    <row r="18" spans="3:12" x14ac:dyDescent="0.45">
      <c r="C18" t="str">
        <f t="shared" si="1"/>
        <v>" " &amp; _</v>
      </c>
      <c r="L18" t="s">
        <v>43</v>
      </c>
    </row>
    <row r="19" spans="3:12" x14ac:dyDescent="0.45">
      <c r="C19" t="str">
        <f t="shared" si="1"/>
        <v>" " &amp; _</v>
      </c>
      <c r="L19" t="s">
        <v>84</v>
      </c>
    </row>
    <row r="20" spans="3:12" x14ac:dyDescent="0.45">
      <c r="C20" t="str">
        <f t="shared" si="1"/>
        <v>" " &amp; _</v>
      </c>
      <c r="L20" t="s">
        <v>111</v>
      </c>
    </row>
    <row r="21" spans="3:12" x14ac:dyDescent="0.45">
      <c r="C21" t="str">
        <f t="shared" si="1"/>
        <v>" " &amp; _</v>
      </c>
      <c r="L21" t="s">
        <v>26</v>
      </c>
    </row>
    <row r="22" spans="3:12" x14ac:dyDescent="0.45">
      <c r="C22" t="str">
        <f t="shared" si="1"/>
        <v>" " &amp; _</v>
      </c>
      <c r="L22" t="s">
        <v>55</v>
      </c>
    </row>
    <row r="23" spans="3:12" x14ac:dyDescent="0.45">
      <c r="C23" t="str">
        <f t="shared" si="1"/>
        <v>" " &amp; _</v>
      </c>
      <c r="L23" t="s">
        <v>69</v>
      </c>
    </row>
    <row r="24" spans="3:12" x14ac:dyDescent="0.45">
      <c r="C24" t="str">
        <f t="shared" si="1"/>
        <v>" " &amp; _</v>
      </c>
      <c r="L24" t="s">
        <v>48</v>
      </c>
    </row>
    <row r="25" spans="3:12" x14ac:dyDescent="0.45">
      <c r="C25" t="str">
        <f t="shared" si="1"/>
        <v>" " &amp; _</v>
      </c>
      <c r="L25" t="s">
        <v>47</v>
      </c>
    </row>
    <row r="26" spans="3:12" x14ac:dyDescent="0.45">
      <c r="C26" t="str">
        <f t="shared" si="1"/>
        <v>" " &amp; _</v>
      </c>
      <c r="L26" t="s">
        <v>37</v>
      </c>
    </row>
    <row r="27" spans="3:12" x14ac:dyDescent="0.45">
      <c r="L27" t="s">
        <v>35</v>
      </c>
    </row>
    <row r="28" spans="3:12" x14ac:dyDescent="0.45">
      <c r="L28" t="s">
        <v>31</v>
      </c>
    </row>
    <row r="29" spans="3:12" x14ac:dyDescent="0.45">
      <c r="L29" t="s">
        <v>45</v>
      </c>
    </row>
    <row r="30" spans="3:12" x14ac:dyDescent="0.45">
      <c r="L30" t="s">
        <v>58</v>
      </c>
    </row>
    <row r="31" spans="3:12" x14ac:dyDescent="0.45">
      <c r="L31" t="s">
        <v>41</v>
      </c>
    </row>
    <row r="32" spans="3:12" x14ac:dyDescent="0.45">
      <c r="L32" t="s">
        <v>127</v>
      </c>
    </row>
    <row r="33" spans="12:12" x14ac:dyDescent="0.45">
      <c r="L33" t="s">
        <v>79</v>
      </c>
    </row>
    <row r="34" spans="12:12" x14ac:dyDescent="0.45">
      <c r="L34" t="s">
        <v>71</v>
      </c>
    </row>
    <row r="35" spans="12:12" x14ac:dyDescent="0.45">
      <c r="L35" t="s">
        <v>29</v>
      </c>
    </row>
    <row r="36" spans="12:12" x14ac:dyDescent="0.45">
      <c r="L36" t="s">
        <v>90</v>
      </c>
    </row>
    <row r="37" spans="12:12" x14ac:dyDescent="0.45">
      <c r="L37" t="s">
        <v>51</v>
      </c>
    </row>
    <row r="38" spans="12:12" x14ac:dyDescent="0.45">
      <c r="L38" t="s">
        <v>67</v>
      </c>
    </row>
    <row r="39" spans="12:12" x14ac:dyDescent="0.45">
      <c r="L39" t="s">
        <v>92</v>
      </c>
    </row>
    <row r="40" spans="12:12" x14ac:dyDescent="0.45">
      <c r="L40" t="s">
        <v>50</v>
      </c>
    </row>
    <row r="41" spans="12:12" x14ac:dyDescent="0.45">
      <c r="L41" t="s">
        <v>53</v>
      </c>
    </row>
    <row r="42" spans="12:12" x14ac:dyDescent="0.45">
      <c r="L42" t="s">
        <v>60</v>
      </c>
    </row>
    <row r="43" spans="12:12" x14ac:dyDescent="0.45">
      <c r="L43" t="s">
        <v>44</v>
      </c>
    </row>
    <row r="44" spans="12:12" x14ac:dyDescent="0.45">
      <c r="L44" t="s">
        <v>32</v>
      </c>
    </row>
    <row r="45" spans="12:12" x14ac:dyDescent="0.45">
      <c r="L45" t="s">
        <v>88</v>
      </c>
    </row>
    <row r="46" spans="12:12" x14ac:dyDescent="0.45">
      <c r="L46" t="s">
        <v>57</v>
      </c>
    </row>
    <row r="47" spans="12:12" x14ac:dyDescent="0.45">
      <c r="L47" t="s">
        <v>81</v>
      </c>
    </row>
    <row r="48" spans="12:12" x14ac:dyDescent="0.45">
      <c r="L48" t="s">
        <v>39</v>
      </c>
    </row>
    <row r="49" spans="12:12" x14ac:dyDescent="0.45">
      <c r="L49" t="s">
        <v>73</v>
      </c>
    </row>
    <row r="50" spans="12:12" x14ac:dyDescent="0.45">
      <c r="L50" t="s">
        <v>38</v>
      </c>
    </row>
    <row r="51" spans="12:12" x14ac:dyDescent="0.45">
      <c r="L51" t="s">
        <v>63</v>
      </c>
    </row>
    <row r="52" spans="12:12" x14ac:dyDescent="0.45">
      <c r="L52" t="s">
        <v>70</v>
      </c>
    </row>
    <row r="53" spans="12:12" x14ac:dyDescent="0.45">
      <c r="L53" t="s">
        <v>89</v>
      </c>
    </row>
    <row r="54" spans="12:12" x14ac:dyDescent="0.45">
      <c r="L54" t="s">
        <v>49</v>
      </c>
    </row>
    <row r="55" spans="12:12" x14ac:dyDescent="0.45">
      <c r="L55" t="s">
        <v>61</v>
      </c>
    </row>
    <row r="56" spans="12:12" x14ac:dyDescent="0.45">
      <c r="L56" t="s">
        <v>68</v>
      </c>
    </row>
    <row r="57" spans="12:12" x14ac:dyDescent="0.45">
      <c r="L57" t="s">
        <v>77</v>
      </c>
    </row>
    <row r="58" spans="12:12" x14ac:dyDescent="0.45">
      <c r="L58" t="s">
        <v>52</v>
      </c>
    </row>
    <row r="59" spans="12:12" x14ac:dyDescent="0.45">
      <c r="L59" t="s">
        <v>36</v>
      </c>
    </row>
    <row r="60" spans="12:12" x14ac:dyDescent="0.45">
      <c r="L60" t="s">
        <v>95</v>
      </c>
    </row>
    <row r="61" spans="12:12" x14ac:dyDescent="0.45">
      <c r="L61" t="s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31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45"/>
  <cols>
    <col min="1" max="1" width="10.3984375" bestFit="1" customWidth="1"/>
    <col min="2" max="2" width="15.53125" customWidth="1"/>
    <col min="3" max="3" width="10.73046875" bestFit="1" customWidth="1"/>
    <col min="4" max="4" width="13.3984375" bestFit="1" customWidth="1"/>
    <col min="5" max="5" width="13.19921875" customWidth="1"/>
    <col min="6" max="6" width="16.6640625" customWidth="1"/>
    <col min="7" max="7" width="19.59765625" customWidth="1"/>
    <col min="8" max="8" width="29.86328125" customWidth="1"/>
    <col min="9" max="9" width="13.59765625" bestFit="1" customWidth="1"/>
    <col min="10" max="10" width="26.6640625" bestFit="1" customWidth="1"/>
    <col min="11" max="11" width="13" bestFit="1" customWidth="1"/>
    <col min="12" max="12" width="16.06640625" bestFit="1" customWidth="1"/>
    <col min="13" max="13" width="17.9296875" bestFit="1" customWidth="1"/>
    <col min="14" max="14" width="17.33203125" bestFit="1" customWidth="1"/>
    <col min="15" max="15" width="15.1328125" bestFit="1" customWidth="1"/>
    <col min="16" max="16" width="25" bestFit="1" customWidth="1"/>
    <col min="17" max="18" width="22.59765625" bestFit="1" customWidth="1"/>
    <col min="19" max="19" width="19.53125" bestFit="1" customWidth="1"/>
    <col min="20" max="20" width="15.265625" bestFit="1" customWidth="1"/>
    <col min="21" max="21" width="16.73046875" bestFit="1" customWidth="1"/>
    <col min="22" max="22" width="15.19921875" customWidth="1"/>
    <col min="23" max="23" width="12.86328125" customWidth="1"/>
    <col min="24" max="24" width="9.33203125" bestFit="1" customWidth="1"/>
    <col min="25" max="25" width="12.6640625" bestFit="1" customWidth="1"/>
    <col min="26" max="26" width="16.796875" bestFit="1" customWidth="1"/>
    <col min="27" max="27" width="21.53125" bestFit="1" customWidth="1"/>
    <col min="28" max="28" width="18.19921875" customWidth="1"/>
    <col min="29" max="29" width="13.6640625" customWidth="1"/>
    <col min="30" max="30" width="15.1328125" customWidth="1"/>
    <col min="31" max="31" width="26.1328125" customWidth="1"/>
    <col min="32" max="32" width="16.46484375" customWidth="1"/>
    <col min="33" max="33" width="8.796875" customWidth="1"/>
    <col min="34" max="34" width="11" customWidth="1"/>
    <col min="35" max="35" width="11.6640625" style="1" customWidth="1"/>
    <col min="36" max="36" width="21.46484375" bestFit="1" customWidth="1"/>
    <col min="37" max="37" width="21.53125" bestFit="1" customWidth="1"/>
    <col min="38" max="38" width="18.19921875" bestFit="1" customWidth="1"/>
  </cols>
  <sheetData>
    <row r="1" spans="1:35" s="5" customFormat="1" x14ac:dyDescent="0.4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9</v>
      </c>
      <c r="J1" s="5" t="s">
        <v>147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6" t="s">
        <v>15</v>
      </c>
      <c r="Q1" s="5" t="s">
        <v>16</v>
      </c>
      <c r="R1" s="5" t="s">
        <v>17</v>
      </c>
      <c r="S1" s="5" t="s">
        <v>18</v>
      </c>
      <c r="T1" s="5" t="s">
        <v>98</v>
      </c>
      <c r="U1" s="5" t="s">
        <v>99</v>
      </c>
      <c r="V1" s="5" t="s">
        <v>100</v>
      </c>
      <c r="W1" s="5" t="s">
        <v>97</v>
      </c>
      <c r="X1" s="5" t="s">
        <v>8</v>
      </c>
      <c r="Y1" s="5" t="s">
        <v>146</v>
      </c>
      <c r="Z1" s="5" t="s">
        <v>162</v>
      </c>
    </row>
    <row r="2" spans="1:35" x14ac:dyDescent="0.45">
      <c r="A2">
        <v>137856</v>
      </c>
      <c r="B2" t="s">
        <v>186</v>
      </c>
      <c r="C2">
        <v>384530</v>
      </c>
      <c r="D2" t="s">
        <v>179</v>
      </c>
      <c r="E2" t="s">
        <v>219</v>
      </c>
      <c r="F2" t="s">
        <v>220</v>
      </c>
      <c r="G2" t="s">
        <v>221</v>
      </c>
      <c r="H2" t="s">
        <v>222</v>
      </c>
      <c r="I2" t="s">
        <v>30</v>
      </c>
      <c r="J2">
        <v>1000</v>
      </c>
      <c r="K2">
        <v>-95</v>
      </c>
      <c r="L2">
        <v>2288.3200000000002</v>
      </c>
      <c r="M2">
        <v>0</v>
      </c>
      <c r="N2">
        <v>266.07896918359501</v>
      </c>
      <c r="O2" t="s">
        <v>25</v>
      </c>
      <c r="P2" s="1">
        <v>0.9074074074074</v>
      </c>
      <c r="Q2">
        <v>0</v>
      </c>
      <c r="R2">
        <v>1</v>
      </c>
      <c r="S2" t="s">
        <v>24</v>
      </c>
      <c r="T2" t="s">
        <v>20</v>
      </c>
      <c r="U2" t="s">
        <v>121</v>
      </c>
      <c r="V2" t="s">
        <v>223</v>
      </c>
      <c r="W2" t="s">
        <v>224</v>
      </c>
      <c r="X2" t="s">
        <v>225</v>
      </c>
      <c r="Y2" t="s">
        <v>226</v>
      </c>
      <c r="Z2" t="s">
        <v>165</v>
      </c>
      <c r="AI2"/>
    </row>
    <row r="3" spans="1:35" x14ac:dyDescent="0.45">
      <c r="A3">
        <v>135941</v>
      </c>
      <c r="B3" t="s">
        <v>186</v>
      </c>
      <c r="C3">
        <v>640535</v>
      </c>
      <c r="D3" t="s">
        <v>33</v>
      </c>
      <c r="E3" t="s">
        <v>227</v>
      </c>
      <c r="F3" t="s">
        <v>20</v>
      </c>
      <c r="G3" t="s">
        <v>228</v>
      </c>
      <c r="H3" t="s">
        <v>229</v>
      </c>
      <c r="I3" t="s">
        <v>22</v>
      </c>
      <c r="J3">
        <v>600</v>
      </c>
      <c r="K3">
        <v>-9</v>
      </c>
      <c r="L3">
        <v>208.77</v>
      </c>
      <c r="M3">
        <v>238.2</v>
      </c>
      <c r="N3">
        <v>42.5700000000001</v>
      </c>
      <c r="O3" t="s">
        <v>23</v>
      </c>
      <c r="P3" s="1">
        <v>0.91089108910891003</v>
      </c>
      <c r="Q3">
        <v>0</v>
      </c>
      <c r="R3">
        <v>4</v>
      </c>
      <c r="T3" t="s">
        <v>20</v>
      </c>
      <c r="U3" t="s">
        <v>230</v>
      </c>
      <c r="V3" t="s">
        <v>231</v>
      </c>
      <c r="W3" t="s">
        <v>232</v>
      </c>
      <c r="X3" t="s">
        <v>225</v>
      </c>
      <c r="Y3" t="s">
        <v>233</v>
      </c>
      <c r="Z3" t="s">
        <v>192</v>
      </c>
      <c r="AI3"/>
    </row>
    <row r="4" spans="1:35" x14ac:dyDescent="0.45">
      <c r="A4">
        <v>137897</v>
      </c>
      <c r="B4" t="s">
        <v>186</v>
      </c>
      <c r="C4">
        <v>1321447</v>
      </c>
      <c r="D4" t="s">
        <v>181</v>
      </c>
      <c r="E4" t="s">
        <v>234</v>
      </c>
      <c r="F4" t="s">
        <v>235</v>
      </c>
      <c r="G4" t="s">
        <v>236</v>
      </c>
      <c r="H4" t="s">
        <v>237</v>
      </c>
      <c r="I4" t="s">
        <v>30</v>
      </c>
      <c r="J4">
        <v>1500</v>
      </c>
      <c r="K4">
        <v>-75</v>
      </c>
      <c r="L4">
        <v>677.71</v>
      </c>
      <c r="M4">
        <v>391.1</v>
      </c>
      <c r="N4">
        <v>288.35000000000002</v>
      </c>
      <c r="O4" t="s">
        <v>23</v>
      </c>
      <c r="P4" s="1">
        <v>0.94594594594593995</v>
      </c>
      <c r="Q4">
        <v>0</v>
      </c>
      <c r="R4">
        <v>4</v>
      </c>
      <c r="S4" t="s">
        <v>24</v>
      </c>
      <c r="T4" t="s">
        <v>20</v>
      </c>
      <c r="U4" t="s">
        <v>215</v>
      </c>
      <c r="V4" t="s">
        <v>238</v>
      </c>
      <c r="W4" t="s">
        <v>239</v>
      </c>
      <c r="X4" t="s">
        <v>225</v>
      </c>
      <c r="Y4" t="s">
        <v>233</v>
      </c>
      <c r="Z4" t="s">
        <v>164</v>
      </c>
      <c r="AI4"/>
    </row>
    <row r="5" spans="1:35" x14ac:dyDescent="0.45">
      <c r="A5">
        <v>147292</v>
      </c>
      <c r="B5" t="s">
        <v>186</v>
      </c>
      <c r="C5">
        <v>1648336</v>
      </c>
      <c r="D5" t="s">
        <v>240</v>
      </c>
      <c r="E5" t="s">
        <v>241</v>
      </c>
      <c r="F5" t="s">
        <v>242</v>
      </c>
      <c r="G5" t="s">
        <v>243</v>
      </c>
      <c r="H5" t="s">
        <v>244</v>
      </c>
      <c r="I5" t="s">
        <v>30</v>
      </c>
      <c r="J5">
        <v>500</v>
      </c>
      <c r="K5">
        <v>-118</v>
      </c>
      <c r="L5">
        <v>0</v>
      </c>
      <c r="M5">
        <v>271.3</v>
      </c>
      <c r="N5">
        <v>54.26</v>
      </c>
      <c r="O5" t="s">
        <v>27</v>
      </c>
      <c r="P5" s="1">
        <v>1</v>
      </c>
      <c r="Q5">
        <v>0</v>
      </c>
      <c r="R5">
        <v>3</v>
      </c>
      <c r="S5" t="s">
        <v>28</v>
      </c>
      <c r="T5" t="s">
        <v>20</v>
      </c>
      <c r="U5" t="s">
        <v>115</v>
      </c>
      <c r="V5" t="s">
        <v>245</v>
      </c>
      <c r="W5" t="s">
        <v>239</v>
      </c>
      <c r="X5" t="s">
        <v>225</v>
      </c>
      <c r="Y5" t="s">
        <v>233</v>
      </c>
      <c r="Z5" t="s">
        <v>163</v>
      </c>
      <c r="AI5"/>
    </row>
    <row r="6" spans="1:35" x14ac:dyDescent="0.45">
      <c r="A6">
        <v>561050</v>
      </c>
      <c r="B6" t="s">
        <v>186</v>
      </c>
      <c r="C6">
        <v>1674542</v>
      </c>
      <c r="D6" t="s">
        <v>246</v>
      </c>
      <c r="E6" t="s">
        <v>247</v>
      </c>
      <c r="F6" t="s">
        <v>248</v>
      </c>
      <c r="G6" t="s">
        <v>249</v>
      </c>
      <c r="H6" t="s">
        <v>250</v>
      </c>
      <c r="I6" t="s">
        <v>30</v>
      </c>
      <c r="J6">
        <v>1500</v>
      </c>
      <c r="K6">
        <v>-27</v>
      </c>
      <c r="L6">
        <v>672.8</v>
      </c>
      <c r="M6">
        <v>0</v>
      </c>
      <c r="N6">
        <v>86.839999999999904</v>
      </c>
      <c r="O6" t="s">
        <v>25</v>
      </c>
      <c r="P6" s="1">
        <v>1</v>
      </c>
      <c r="Q6">
        <v>0</v>
      </c>
      <c r="R6">
        <v>1</v>
      </c>
      <c r="T6" t="s">
        <v>20</v>
      </c>
      <c r="U6" t="s">
        <v>148</v>
      </c>
      <c r="V6" t="s">
        <v>251</v>
      </c>
      <c r="W6" t="s">
        <v>252</v>
      </c>
      <c r="X6" t="s">
        <v>225</v>
      </c>
      <c r="Y6" t="s">
        <v>253</v>
      </c>
      <c r="Z6" t="s">
        <v>188</v>
      </c>
      <c r="AI6"/>
    </row>
    <row r="7" spans="1:35" x14ac:dyDescent="0.45">
      <c r="A7">
        <v>532574</v>
      </c>
      <c r="B7" t="s">
        <v>186</v>
      </c>
      <c r="C7">
        <v>1691565</v>
      </c>
      <c r="D7" t="s">
        <v>204</v>
      </c>
      <c r="E7" t="s">
        <v>254</v>
      </c>
      <c r="F7" t="s">
        <v>20</v>
      </c>
      <c r="G7" t="s">
        <v>255</v>
      </c>
      <c r="H7" t="s">
        <v>256</v>
      </c>
      <c r="I7" t="s">
        <v>30</v>
      </c>
      <c r="J7">
        <v>650</v>
      </c>
      <c r="K7">
        <v>-107</v>
      </c>
      <c r="L7">
        <v>0</v>
      </c>
      <c r="M7">
        <v>626.5</v>
      </c>
      <c r="N7">
        <v>119.05</v>
      </c>
      <c r="O7" t="s">
        <v>27</v>
      </c>
      <c r="P7" s="1">
        <v>1</v>
      </c>
      <c r="Q7">
        <v>0</v>
      </c>
      <c r="R7">
        <v>2</v>
      </c>
      <c r="T7" t="s">
        <v>102</v>
      </c>
      <c r="U7" t="s">
        <v>257</v>
      </c>
      <c r="V7" t="s">
        <v>258</v>
      </c>
      <c r="W7" t="s">
        <v>239</v>
      </c>
      <c r="X7" t="s">
        <v>225</v>
      </c>
      <c r="Y7" t="s">
        <v>233</v>
      </c>
      <c r="Z7" t="s">
        <v>166</v>
      </c>
      <c r="AI7"/>
    </row>
    <row r="8" spans="1:35" x14ac:dyDescent="0.45">
      <c r="A8">
        <v>116391</v>
      </c>
      <c r="B8" t="s">
        <v>186</v>
      </c>
      <c r="C8">
        <v>1711180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  <c r="I8" t="s">
        <v>30</v>
      </c>
      <c r="J8">
        <v>700</v>
      </c>
      <c r="K8">
        <v>-107</v>
      </c>
      <c r="L8">
        <v>0</v>
      </c>
      <c r="M8">
        <v>588.78</v>
      </c>
      <c r="N8">
        <v>117.76</v>
      </c>
      <c r="O8" t="s">
        <v>27</v>
      </c>
      <c r="P8" s="1">
        <v>0.94444444444443998</v>
      </c>
      <c r="Q8">
        <v>0</v>
      </c>
      <c r="R8">
        <v>4</v>
      </c>
      <c r="S8" t="s">
        <v>28</v>
      </c>
      <c r="T8" t="s">
        <v>20</v>
      </c>
      <c r="U8" t="s">
        <v>123</v>
      </c>
      <c r="V8" t="s">
        <v>271</v>
      </c>
      <c r="W8" t="s">
        <v>252</v>
      </c>
      <c r="X8" t="s">
        <v>225</v>
      </c>
      <c r="Y8" t="s">
        <v>253</v>
      </c>
      <c r="Z8" t="s">
        <v>166</v>
      </c>
      <c r="AI8"/>
    </row>
    <row r="9" spans="1:35" x14ac:dyDescent="0.45">
      <c r="A9">
        <v>138369</v>
      </c>
      <c r="B9" t="s">
        <v>186</v>
      </c>
      <c r="C9">
        <v>1712660</v>
      </c>
      <c r="D9" t="s">
        <v>259</v>
      </c>
      <c r="E9" t="s">
        <v>260</v>
      </c>
      <c r="F9" t="s">
        <v>261</v>
      </c>
      <c r="G9" t="s">
        <v>262</v>
      </c>
      <c r="H9" t="s">
        <v>263</v>
      </c>
      <c r="I9" t="s">
        <v>30</v>
      </c>
      <c r="J9">
        <v>1500</v>
      </c>
      <c r="K9">
        <v>0</v>
      </c>
      <c r="L9">
        <v>1352.64</v>
      </c>
      <c r="M9">
        <v>0</v>
      </c>
      <c r="N9">
        <v>192.7</v>
      </c>
      <c r="O9" t="s">
        <v>25</v>
      </c>
      <c r="P9" s="1">
        <v>1</v>
      </c>
      <c r="Q9">
        <v>1</v>
      </c>
      <c r="R9">
        <v>8</v>
      </c>
      <c r="T9" t="s">
        <v>20</v>
      </c>
      <c r="U9" t="s">
        <v>158</v>
      </c>
      <c r="V9" t="s">
        <v>264</v>
      </c>
      <c r="W9" t="s">
        <v>265</v>
      </c>
      <c r="X9" t="s">
        <v>225</v>
      </c>
      <c r="Z9" t="s">
        <v>170</v>
      </c>
      <c r="AI9"/>
    </row>
    <row r="10" spans="1:35" x14ac:dyDescent="0.45">
      <c r="A10">
        <v>52287</v>
      </c>
      <c r="B10" t="s">
        <v>186</v>
      </c>
      <c r="C10">
        <v>1722615</v>
      </c>
      <c r="D10" t="s">
        <v>91</v>
      </c>
      <c r="E10" t="s">
        <v>272</v>
      </c>
      <c r="F10" t="s">
        <v>20</v>
      </c>
      <c r="G10" t="s">
        <v>273</v>
      </c>
      <c r="H10" t="s">
        <v>274</v>
      </c>
      <c r="I10" t="s">
        <v>30</v>
      </c>
      <c r="J10">
        <v>500</v>
      </c>
      <c r="K10">
        <v>-126</v>
      </c>
      <c r="L10">
        <v>0</v>
      </c>
      <c r="M10">
        <v>391.1</v>
      </c>
      <c r="N10">
        <v>76.34</v>
      </c>
      <c r="O10" t="s">
        <v>27</v>
      </c>
      <c r="P10" s="1">
        <v>1</v>
      </c>
      <c r="Q10">
        <v>0</v>
      </c>
      <c r="R10">
        <v>1</v>
      </c>
      <c r="T10" t="s">
        <v>20</v>
      </c>
      <c r="U10" t="s">
        <v>118</v>
      </c>
      <c r="V10" t="s">
        <v>275</v>
      </c>
      <c r="W10" t="s">
        <v>276</v>
      </c>
      <c r="X10" t="s">
        <v>225</v>
      </c>
      <c r="Y10" t="s">
        <v>277</v>
      </c>
      <c r="Z10" t="s">
        <v>176</v>
      </c>
      <c r="AI10"/>
    </row>
    <row r="11" spans="1:35" x14ac:dyDescent="0.45">
      <c r="A11">
        <v>580712</v>
      </c>
      <c r="B11" t="s">
        <v>186</v>
      </c>
      <c r="C11">
        <v>1748611</v>
      </c>
      <c r="D11" t="s">
        <v>278</v>
      </c>
      <c r="E11" t="s">
        <v>279</v>
      </c>
      <c r="F11" t="s">
        <v>20</v>
      </c>
      <c r="G11" t="s">
        <v>280</v>
      </c>
      <c r="H11" t="s">
        <v>281</v>
      </c>
      <c r="I11" t="s">
        <v>22</v>
      </c>
      <c r="J11">
        <v>1000</v>
      </c>
      <c r="K11">
        <v>-46</v>
      </c>
      <c r="L11">
        <v>709.36</v>
      </c>
      <c r="M11">
        <v>0</v>
      </c>
      <c r="N11">
        <v>212.81</v>
      </c>
      <c r="O11" t="s">
        <v>25</v>
      </c>
      <c r="P11" s="1">
        <v>1</v>
      </c>
      <c r="Q11">
        <v>0</v>
      </c>
      <c r="R11">
        <v>1</v>
      </c>
      <c r="S11" t="s">
        <v>24</v>
      </c>
      <c r="T11" t="s">
        <v>20</v>
      </c>
      <c r="U11" t="s">
        <v>117</v>
      </c>
      <c r="V11" t="s">
        <v>282</v>
      </c>
      <c r="W11" t="s">
        <v>283</v>
      </c>
      <c r="X11" t="s">
        <v>225</v>
      </c>
      <c r="Y11" t="s">
        <v>277</v>
      </c>
      <c r="Z11" t="s">
        <v>284</v>
      </c>
      <c r="AI11"/>
    </row>
    <row r="12" spans="1:35" x14ac:dyDescent="0.45">
      <c r="A12">
        <v>136769</v>
      </c>
      <c r="B12" t="s">
        <v>186</v>
      </c>
      <c r="C12">
        <v>1748752</v>
      </c>
      <c r="D12" t="s">
        <v>285</v>
      </c>
      <c r="E12" t="s">
        <v>286</v>
      </c>
      <c r="F12" t="s">
        <v>20</v>
      </c>
      <c r="G12" t="s">
        <v>287</v>
      </c>
      <c r="H12" t="s">
        <v>288</v>
      </c>
      <c r="I12" t="s">
        <v>30</v>
      </c>
      <c r="J12">
        <v>400</v>
      </c>
      <c r="K12">
        <v>-118</v>
      </c>
      <c r="L12">
        <v>0</v>
      </c>
      <c r="M12">
        <v>719.67</v>
      </c>
      <c r="N12">
        <v>143.94</v>
      </c>
      <c r="O12" t="s">
        <v>27</v>
      </c>
      <c r="P12" s="1">
        <v>1</v>
      </c>
      <c r="Q12">
        <v>0</v>
      </c>
      <c r="R12">
        <v>4</v>
      </c>
      <c r="T12" t="s">
        <v>20</v>
      </c>
      <c r="U12" t="s">
        <v>119</v>
      </c>
      <c r="V12" t="s">
        <v>289</v>
      </c>
      <c r="W12" t="s">
        <v>232</v>
      </c>
      <c r="X12" t="s">
        <v>225</v>
      </c>
      <c r="Y12" t="s">
        <v>233</v>
      </c>
      <c r="Z12" t="s">
        <v>163</v>
      </c>
      <c r="AI12"/>
    </row>
    <row r="13" spans="1:35" x14ac:dyDescent="0.45">
      <c r="A13">
        <v>414470</v>
      </c>
      <c r="B13" t="s">
        <v>186</v>
      </c>
      <c r="C13">
        <v>1755079</v>
      </c>
      <c r="D13" t="s">
        <v>290</v>
      </c>
      <c r="E13" t="s">
        <v>291</v>
      </c>
      <c r="F13" t="s">
        <v>20</v>
      </c>
      <c r="G13" t="s">
        <v>292</v>
      </c>
      <c r="H13" t="s">
        <v>293</v>
      </c>
      <c r="I13" t="s">
        <v>30</v>
      </c>
      <c r="J13">
        <v>1000</v>
      </c>
      <c r="K13">
        <v>-46</v>
      </c>
      <c r="L13">
        <v>0</v>
      </c>
      <c r="M13">
        <v>564.03</v>
      </c>
      <c r="N13">
        <v>112.81</v>
      </c>
      <c r="O13" t="s">
        <v>27</v>
      </c>
      <c r="P13" s="1">
        <v>0.97058823529410998</v>
      </c>
      <c r="Q13">
        <v>1</v>
      </c>
      <c r="R13">
        <v>5</v>
      </c>
      <c r="S13" t="s">
        <v>28</v>
      </c>
      <c r="T13" t="s">
        <v>20</v>
      </c>
      <c r="U13" t="s">
        <v>119</v>
      </c>
      <c r="V13" t="s">
        <v>294</v>
      </c>
      <c r="W13" t="s">
        <v>239</v>
      </c>
      <c r="X13" t="s">
        <v>225</v>
      </c>
      <c r="Y13" t="s">
        <v>233</v>
      </c>
      <c r="Z13" t="s">
        <v>284</v>
      </c>
      <c r="AI13"/>
    </row>
    <row r="14" spans="1:35" x14ac:dyDescent="0.45">
      <c r="A14">
        <v>137979</v>
      </c>
      <c r="B14" t="s">
        <v>186</v>
      </c>
      <c r="C14">
        <v>1757240</v>
      </c>
      <c r="D14" t="s">
        <v>217</v>
      </c>
      <c r="E14" t="s">
        <v>295</v>
      </c>
      <c r="F14" t="s">
        <v>20</v>
      </c>
      <c r="G14" t="s">
        <v>296</v>
      </c>
      <c r="H14" t="s">
        <v>297</v>
      </c>
      <c r="I14" t="s">
        <v>22</v>
      </c>
      <c r="J14">
        <v>1000</v>
      </c>
      <c r="K14">
        <v>-32</v>
      </c>
      <c r="L14">
        <v>658.63</v>
      </c>
      <c r="M14">
        <v>0</v>
      </c>
      <c r="N14">
        <v>197.59</v>
      </c>
      <c r="O14" t="s">
        <v>25</v>
      </c>
      <c r="P14" s="1">
        <v>0.94117647058822995</v>
      </c>
      <c r="Q14">
        <v>1</v>
      </c>
      <c r="R14">
        <v>1</v>
      </c>
      <c r="T14" t="s">
        <v>20</v>
      </c>
      <c r="U14" t="s">
        <v>125</v>
      </c>
      <c r="V14" t="s">
        <v>298</v>
      </c>
      <c r="W14" t="s">
        <v>276</v>
      </c>
      <c r="X14" t="s">
        <v>225</v>
      </c>
      <c r="Y14" t="s">
        <v>277</v>
      </c>
      <c r="Z14" t="s">
        <v>175</v>
      </c>
      <c r="AI14"/>
    </row>
    <row r="15" spans="1:35" x14ac:dyDescent="0.45">
      <c r="A15">
        <v>204284</v>
      </c>
      <c r="B15" t="s">
        <v>186</v>
      </c>
      <c r="C15">
        <v>1786224</v>
      </c>
      <c r="D15" t="s">
        <v>149</v>
      </c>
      <c r="E15" t="s">
        <v>299</v>
      </c>
      <c r="F15" t="s">
        <v>20</v>
      </c>
      <c r="G15" t="s">
        <v>300</v>
      </c>
      <c r="H15" t="s">
        <v>301</v>
      </c>
      <c r="I15" t="s">
        <v>30</v>
      </c>
      <c r="J15">
        <v>750</v>
      </c>
      <c r="K15">
        <v>-65</v>
      </c>
      <c r="L15">
        <v>565</v>
      </c>
      <c r="M15">
        <v>0</v>
      </c>
      <c r="N15">
        <v>169.5</v>
      </c>
      <c r="O15" t="s">
        <v>25</v>
      </c>
      <c r="P15" s="1">
        <v>1</v>
      </c>
      <c r="Q15">
        <v>0</v>
      </c>
      <c r="R15">
        <v>3</v>
      </c>
      <c r="T15" t="s">
        <v>20</v>
      </c>
      <c r="U15" t="s">
        <v>109</v>
      </c>
      <c r="V15" t="s">
        <v>302</v>
      </c>
      <c r="W15" t="s">
        <v>303</v>
      </c>
      <c r="X15" t="s">
        <v>225</v>
      </c>
      <c r="Y15" t="s">
        <v>277</v>
      </c>
      <c r="Z15" t="s">
        <v>304</v>
      </c>
      <c r="AI15"/>
    </row>
    <row r="16" spans="1:35" x14ac:dyDescent="0.45">
      <c r="A16">
        <v>136446</v>
      </c>
      <c r="B16" t="s">
        <v>186</v>
      </c>
      <c r="C16">
        <v>1792816</v>
      </c>
      <c r="D16" t="s">
        <v>183</v>
      </c>
      <c r="E16" t="s">
        <v>305</v>
      </c>
      <c r="F16" t="s">
        <v>20</v>
      </c>
      <c r="G16" t="s">
        <v>306</v>
      </c>
      <c r="H16" t="s">
        <v>307</v>
      </c>
      <c r="I16" t="s">
        <v>30</v>
      </c>
      <c r="J16">
        <v>400</v>
      </c>
      <c r="K16">
        <v>-81</v>
      </c>
      <c r="L16">
        <v>843.84</v>
      </c>
      <c r="M16">
        <v>0</v>
      </c>
      <c r="N16">
        <v>253.16</v>
      </c>
      <c r="O16" t="s">
        <v>25</v>
      </c>
      <c r="P16" s="1">
        <v>1</v>
      </c>
      <c r="Q16">
        <v>1</v>
      </c>
      <c r="R16">
        <v>1</v>
      </c>
      <c r="T16" t="s">
        <v>20</v>
      </c>
      <c r="U16" t="s">
        <v>120</v>
      </c>
      <c r="V16" t="s">
        <v>308</v>
      </c>
      <c r="W16" t="s">
        <v>309</v>
      </c>
      <c r="X16" t="s">
        <v>46</v>
      </c>
      <c r="Y16" t="s">
        <v>161</v>
      </c>
      <c r="Z16" t="s">
        <v>175</v>
      </c>
      <c r="AI16"/>
    </row>
    <row r="17" spans="1:35" x14ac:dyDescent="0.45">
      <c r="A17">
        <v>237882</v>
      </c>
      <c r="B17" t="s">
        <v>186</v>
      </c>
      <c r="C17">
        <v>1814662</v>
      </c>
      <c r="D17" t="s">
        <v>185</v>
      </c>
      <c r="E17" t="s">
        <v>196</v>
      </c>
      <c r="F17" t="s">
        <v>20</v>
      </c>
      <c r="G17" t="s">
        <v>313</v>
      </c>
      <c r="H17" t="s">
        <v>314</v>
      </c>
      <c r="I17" t="s">
        <v>30</v>
      </c>
      <c r="J17">
        <v>1000</v>
      </c>
      <c r="K17">
        <v>-24</v>
      </c>
      <c r="L17">
        <v>0</v>
      </c>
      <c r="M17">
        <v>532.66999999999996</v>
      </c>
      <c r="N17">
        <v>106.54</v>
      </c>
      <c r="O17" t="s">
        <v>27</v>
      </c>
      <c r="P17" s="1">
        <v>1</v>
      </c>
      <c r="Q17">
        <v>0</v>
      </c>
      <c r="R17">
        <v>5</v>
      </c>
      <c r="S17" t="s">
        <v>28</v>
      </c>
      <c r="T17" t="s">
        <v>105</v>
      </c>
      <c r="U17" t="s">
        <v>105</v>
      </c>
      <c r="V17" t="s">
        <v>315</v>
      </c>
      <c r="W17" t="s">
        <v>239</v>
      </c>
      <c r="X17" t="s">
        <v>225</v>
      </c>
      <c r="Y17" t="s">
        <v>233</v>
      </c>
      <c r="Z17" t="s">
        <v>194</v>
      </c>
      <c r="AI17"/>
    </row>
    <row r="18" spans="1:35" x14ac:dyDescent="0.45">
      <c r="A18">
        <v>599592</v>
      </c>
      <c r="B18" t="s">
        <v>186</v>
      </c>
      <c r="C18">
        <v>1815532</v>
      </c>
      <c r="D18" t="s">
        <v>159</v>
      </c>
      <c r="E18" t="s">
        <v>310</v>
      </c>
      <c r="F18" t="s">
        <v>20</v>
      </c>
      <c r="G18" t="s">
        <v>311</v>
      </c>
      <c r="H18" t="s">
        <v>312</v>
      </c>
      <c r="I18" t="s">
        <v>30</v>
      </c>
      <c r="J18">
        <v>500</v>
      </c>
      <c r="K18">
        <v>-83</v>
      </c>
      <c r="L18">
        <v>193.96</v>
      </c>
      <c r="M18">
        <v>118.72</v>
      </c>
      <c r="N18">
        <v>62.54</v>
      </c>
      <c r="O18" t="s">
        <v>23</v>
      </c>
      <c r="P18" s="1">
        <v>1</v>
      </c>
      <c r="Q18">
        <v>0</v>
      </c>
      <c r="R18">
        <v>1</v>
      </c>
      <c r="T18" t="s">
        <v>105</v>
      </c>
      <c r="U18" t="s">
        <v>113</v>
      </c>
      <c r="V18" t="s">
        <v>238</v>
      </c>
      <c r="W18" t="s">
        <v>239</v>
      </c>
      <c r="X18" t="s">
        <v>225</v>
      </c>
      <c r="Y18" t="s">
        <v>233</v>
      </c>
      <c r="Z18" t="s">
        <v>173</v>
      </c>
      <c r="AI18"/>
    </row>
    <row r="19" spans="1:35" x14ac:dyDescent="0.45">
      <c r="A19">
        <v>137153</v>
      </c>
      <c r="B19" t="s">
        <v>186</v>
      </c>
      <c r="C19">
        <v>1830572</v>
      </c>
      <c r="D19" t="s">
        <v>182</v>
      </c>
      <c r="E19" t="s">
        <v>267</v>
      </c>
      <c r="F19" t="s">
        <v>322</v>
      </c>
      <c r="G19" t="s">
        <v>323</v>
      </c>
      <c r="H19" t="s">
        <v>270</v>
      </c>
      <c r="I19" t="s">
        <v>30</v>
      </c>
      <c r="J19">
        <v>500</v>
      </c>
      <c r="K19">
        <v>-67</v>
      </c>
      <c r="L19">
        <v>0</v>
      </c>
      <c r="M19">
        <v>503.85</v>
      </c>
      <c r="N19">
        <v>81.25</v>
      </c>
      <c r="O19" t="s">
        <v>27</v>
      </c>
      <c r="P19" s="1">
        <v>1</v>
      </c>
      <c r="Q19">
        <v>0</v>
      </c>
      <c r="R19">
        <v>4</v>
      </c>
      <c r="T19" t="s">
        <v>20</v>
      </c>
      <c r="U19" t="s">
        <v>114</v>
      </c>
      <c r="V19" t="s">
        <v>324</v>
      </c>
      <c r="W19" t="s">
        <v>252</v>
      </c>
      <c r="X19" t="s">
        <v>225</v>
      </c>
      <c r="Y19" t="s">
        <v>253</v>
      </c>
      <c r="Z19" t="s">
        <v>174</v>
      </c>
      <c r="AI19"/>
    </row>
    <row r="20" spans="1:35" x14ac:dyDescent="0.45">
      <c r="A20">
        <v>251525</v>
      </c>
      <c r="B20" t="s">
        <v>186</v>
      </c>
      <c r="C20">
        <v>1832517</v>
      </c>
      <c r="D20" t="s">
        <v>156</v>
      </c>
      <c r="E20" t="s">
        <v>208</v>
      </c>
      <c r="F20" t="s">
        <v>20</v>
      </c>
      <c r="G20" t="s">
        <v>316</v>
      </c>
      <c r="H20" t="s">
        <v>317</v>
      </c>
      <c r="I20" t="s">
        <v>30</v>
      </c>
      <c r="J20">
        <v>1000</v>
      </c>
      <c r="K20">
        <v>-12</v>
      </c>
      <c r="L20">
        <v>0</v>
      </c>
      <c r="M20">
        <v>609.79999999999995</v>
      </c>
      <c r="N20">
        <v>64.819999999999894</v>
      </c>
      <c r="O20" t="s">
        <v>27</v>
      </c>
      <c r="P20" s="1">
        <v>1</v>
      </c>
      <c r="Q20">
        <v>0</v>
      </c>
      <c r="R20">
        <v>7</v>
      </c>
      <c r="S20" t="s">
        <v>28</v>
      </c>
      <c r="T20" t="s">
        <v>20</v>
      </c>
      <c r="U20" t="s">
        <v>318</v>
      </c>
      <c r="V20" t="s">
        <v>319</v>
      </c>
      <c r="W20" t="s">
        <v>320</v>
      </c>
      <c r="X20" t="s">
        <v>225</v>
      </c>
      <c r="Y20" t="s">
        <v>321</v>
      </c>
      <c r="Z20" t="s">
        <v>210</v>
      </c>
      <c r="AI20"/>
    </row>
    <row r="21" spans="1:35" x14ac:dyDescent="0.45">
      <c r="A21">
        <v>217269</v>
      </c>
      <c r="B21" t="s">
        <v>186</v>
      </c>
      <c r="C21">
        <v>1832146</v>
      </c>
      <c r="D21" t="s">
        <v>325</v>
      </c>
      <c r="E21" t="s">
        <v>326</v>
      </c>
      <c r="F21" t="s">
        <v>327</v>
      </c>
      <c r="G21" t="s">
        <v>328</v>
      </c>
      <c r="H21" t="s">
        <v>329</v>
      </c>
      <c r="I21" t="s">
        <v>30</v>
      </c>
      <c r="J21">
        <v>500</v>
      </c>
      <c r="K21">
        <v>-80</v>
      </c>
      <c r="L21">
        <v>199.64</v>
      </c>
      <c r="M21">
        <v>624.32000000000005</v>
      </c>
      <c r="N21">
        <v>145.41999999999999</v>
      </c>
      <c r="O21" t="s">
        <v>23</v>
      </c>
      <c r="P21" s="1">
        <v>0.93421052631578005</v>
      </c>
      <c r="Q21">
        <v>1</v>
      </c>
      <c r="R21">
        <v>4</v>
      </c>
      <c r="T21" t="s">
        <v>20</v>
      </c>
      <c r="U21" t="s">
        <v>110</v>
      </c>
      <c r="V21" t="s">
        <v>330</v>
      </c>
      <c r="W21" t="s">
        <v>331</v>
      </c>
      <c r="X21" t="s">
        <v>225</v>
      </c>
      <c r="Y21" t="s">
        <v>233</v>
      </c>
      <c r="Z21" t="s">
        <v>177</v>
      </c>
      <c r="AI21"/>
    </row>
    <row r="22" spans="1:35" x14ac:dyDescent="0.45">
      <c r="A22">
        <v>562616</v>
      </c>
      <c r="B22" t="s">
        <v>186</v>
      </c>
      <c r="C22">
        <v>1836671</v>
      </c>
      <c r="D22" t="s">
        <v>86</v>
      </c>
      <c r="E22" t="s">
        <v>332</v>
      </c>
      <c r="F22" t="s">
        <v>20</v>
      </c>
      <c r="G22" t="s">
        <v>333</v>
      </c>
      <c r="H22" t="s">
        <v>334</v>
      </c>
      <c r="I22" t="s">
        <v>22</v>
      </c>
      <c r="J22">
        <v>300</v>
      </c>
      <c r="K22">
        <v>-105</v>
      </c>
      <c r="L22">
        <v>429.46</v>
      </c>
      <c r="M22">
        <v>26.84</v>
      </c>
      <c r="N22">
        <v>91.259999999999906</v>
      </c>
      <c r="O22" t="s">
        <v>23</v>
      </c>
      <c r="P22" s="1">
        <v>1</v>
      </c>
      <c r="Q22">
        <v>1</v>
      </c>
      <c r="R22">
        <v>3</v>
      </c>
      <c r="T22" t="s">
        <v>20</v>
      </c>
      <c r="U22" t="s">
        <v>116</v>
      </c>
      <c r="V22" t="s">
        <v>335</v>
      </c>
      <c r="W22" t="s">
        <v>336</v>
      </c>
      <c r="X22" t="s">
        <v>225</v>
      </c>
      <c r="Y22" t="s">
        <v>337</v>
      </c>
      <c r="Z22" t="s">
        <v>172</v>
      </c>
      <c r="AI22"/>
    </row>
    <row r="23" spans="1:35" x14ac:dyDescent="0.45">
      <c r="A23">
        <v>303188</v>
      </c>
      <c r="B23" t="s">
        <v>186</v>
      </c>
      <c r="C23">
        <v>1841708</v>
      </c>
      <c r="D23" t="s">
        <v>82</v>
      </c>
      <c r="E23" t="s">
        <v>178</v>
      </c>
      <c r="F23" t="s">
        <v>20</v>
      </c>
      <c r="G23" t="s">
        <v>338</v>
      </c>
      <c r="H23" t="s">
        <v>339</v>
      </c>
      <c r="I23" t="s">
        <v>30</v>
      </c>
      <c r="J23">
        <v>700</v>
      </c>
      <c r="K23">
        <v>-63</v>
      </c>
      <c r="L23">
        <v>0</v>
      </c>
      <c r="M23">
        <v>438.55</v>
      </c>
      <c r="N23">
        <v>83.51</v>
      </c>
      <c r="O23" t="s">
        <v>27</v>
      </c>
      <c r="P23" s="1">
        <v>1</v>
      </c>
      <c r="Q23">
        <v>0</v>
      </c>
      <c r="R23">
        <v>4</v>
      </c>
      <c r="S23" t="s">
        <v>28</v>
      </c>
      <c r="T23" t="s">
        <v>20</v>
      </c>
      <c r="U23" t="s">
        <v>103</v>
      </c>
      <c r="V23" t="s">
        <v>340</v>
      </c>
      <c r="W23" t="s">
        <v>341</v>
      </c>
      <c r="X23" t="s">
        <v>225</v>
      </c>
      <c r="Y23" t="s">
        <v>233</v>
      </c>
      <c r="Z23" t="s">
        <v>169</v>
      </c>
      <c r="AI23"/>
    </row>
    <row r="24" spans="1:35" x14ac:dyDescent="0.45">
      <c r="A24">
        <v>523846</v>
      </c>
      <c r="B24" t="s">
        <v>186</v>
      </c>
      <c r="C24">
        <v>1855960</v>
      </c>
      <c r="D24" t="s">
        <v>64</v>
      </c>
      <c r="E24" t="s">
        <v>342</v>
      </c>
      <c r="F24" t="s">
        <v>20</v>
      </c>
      <c r="G24" t="s">
        <v>20</v>
      </c>
      <c r="H24" t="s">
        <v>343</v>
      </c>
      <c r="I24" t="s">
        <v>30</v>
      </c>
      <c r="J24">
        <v>500</v>
      </c>
      <c r="K24">
        <v>-41</v>
      </c>
      <c r="L24">
        <v>0</v>
      </c>
      <c r="M24">
        <v>259.02</v>
      </c>
      <c r="N24">
        <v>51.8</v>
      </c>
      <c r="O24" t="s">
        <v>27</v>
      </c>
      <c r="P24" s="1">
        <v>1</v>
      </c>
      <c r="Q24">
        <v>0</v>
      </c>
      <c r="R24">
        <v>5</v>
      </c>
      <c r="T24" t="s">
        <v>20</v>
      </c>
      <c r="U24" t="s">
        <v>103</v>
      </c>
      <c r="V24" t="s">
        <v>344</v>
      </c>
      <c r="W24" t="s">
        <v>345</v>
      </c>
      <c r="X24" t="s">
        <v>225</v>
      </c>
      <c r="Y24" t="s">
        <v>346</v>
      </c>
      <c r="Z24" t="s">
        <v>190</v>
      </c>
      <c r="AI24"/>
    </row>
    <row r="25" spans="1:35" x14ac:dyDescent="0.45">
      <c r="A25">
        <v>213636</v>
      </c>
      <c r="B25" t="s">
        <v>186</v>
      </c>
      <c r="C25">
        <v>1861019</v>
      </c>
      <c r="D25" t="s">
        <v>93</v>
      </c>
      <c r="E25" t="s">
        <v>347</v>
      </c>
      <c r="F25" t="s">
        <v>20</v>
      </c>
      <c r="G25" t="s">
        <v>348</v>
      </c>
      <c r="H25" t="s">
        <v>349</v>
      </c>
      <c r="I25" t="s">
        <v>30</v>
      </c>
      <c r="J25">
        <v>300</v>
      </c>
      <c r="K25">
        <v>-65</v>
      </c>
      <c r="L25">
        <v>0</v>
      </c>
      <c r="M25">
        <v>622.86</v>
      </c>
      <c r="N25">
        <v>124.58</v>
      </c>
      <c r="O25" t="s">
        <v>27</v>
      </c>
      <c r="P25" s="1">
        <v>0.95</v>
      </c>
      <c r="Q25">
        <v>0</v>
      </c>
      <c r="R25">
        <v>5</v>
      </c>
      <c r="S25" t="s">
        <v>155</v>
      </c>
      <c r="T25" t="s">
        <v>20</v>
      </c>
      <c r="U25" t="s">
        <v>107</v>
      </c>
      <c r="V25" t="s">
        <v>350</v>
      </c>
      <c r="W25" t="s">
        <v>276</v>
      </c>
      <c r="X25" t="s">
        <v>225</v>
      </c>
      <c r="Y25" t="s">
        <v>277</v>
      </c>
      <c r="Z25" t="s">
        <v>304</v>
      </c>
      <c r="AI25"/>
    </row>
    <row r="26" spans="1:35" x14ac:dyDescent="0.45">
      <c r="A26">
        <v>219888</v>
      </c>
      <c r="B26" t="s">
        <v>186</v>
      </c>
      <c r="C26">
        <v>1870955</v>
      </c>
      <c r="D26" t="s">
        <v>351</v>
      </c>
      <c r="E26" t="s">
        <v>352</v>
      </c>
      <c r="F26" t="s">
        <v>353</v>
      </c>
      <c r="G26" t="s">
        <v>354</v>
      </c>
      <c r="H26" t="s">
        <v>355</v>
      </c>
      <c r="I26" t="s">
        <v>30</v>
      </c>
      <c r="J26">
        <v>1000</v>
      </c>
      <c r="K26">
        <v>-2</v>
      </c>
      <c r="L26">
        <v>739.75</v>
      </c>
      <c r="M26">
        <v>0</v>
      </c>
      <c r="N26">
        <v>72.559999999999903</v>
      </c>
      <c r="O26" t="s">
        <v>25</v>
      </c>
      <c r="P26" s="1">
        <v>1</v>
      </c>
      <c r="Q26">
        <v>0</v>
      </c>
      <c r="R26">
        <v>3</v>
      </c>
      <c r="S26" t="s">
        <v>24</v>
      </c>
      <c r="T26" t="s">
        <v>103</v>
      </c>
      <c r="U26" t="s">
        <v>102</v>
      </c>
      <c r="W26" t="s">
        <v>276</v>
      </c>
      <c r="X26" t="s">
        <v>225</v>
      </c>
      <c r="Y26" t="s">
        <v>277</v>
      </c>
      <c r="Z26" t="s">
        <v>199</v>
      </c>
      <c r="AI26"/>
    </row>
    <row r="27" spans="1:35" x14ac:dyDescent="0.45">
      <c r="A27">
        <v>615017</v>
      </c>
      <c r="B27" t="s">
        <v>186</v>
      </c>
      <c r="C27">
        <v>1870637</v>
      </c>
      <c r="D27" t="s">
        <v>356</v>
      </c>
      <c r="E27" t="s">
        <v>357</v>
      </c>
      <c r="F27" t="s">
        <v>20</v>
      </c>
      <c r="G27" t="s">
        <v>358</v>
      </c>
      <c r="H27" t="s">
        <v>359</v>
      </c>
      <c r="I27" t="s">
        <v>30</v>
      </c>
      <c r="J27">
        <v>500</v>
      </c>
      <c r="K27">
        <v>-56</v>
      </c>
      <c r="L27">
        <v>527.79999999999995</v>
      </c>
      <c r="M27">
        <v>438.55</v>
      </c>
      <c r="N27">
        <v>45.21</v>
      </c>
      <c r="O27" t="s">
        <v>23</v>
      </c>
      <c r="P27" s="1">
        <v>1</v>
      </c>
      <c r="Q27">
        <v>0</v>
      </c>
      <c r="R27">
        <v>5</v>
      </c>
      <c r="S27" t="s">
        <v>28</v>
      </c>
      <c r="T27" t="s">
        <v>102</v>
      </c>
      <c r="U27" t="s">
        <v>113</v>
      </c>
      <c r="V27" t="s">
        <v>360</v>
      </c>
      <c r="W27" t="s">
        <v>207</v>
      </c>
      <c r="X27" t="s">
        <v>225</v>
      </c>
      <c r="Y27" t="s">
        <v>361</v>
      </c>
      <c r="Z27" t="s">
        <v>171</v>
      </c>
      <c r="AI27"/>
    </row>
    <row r="28" spans="1:35" x14ac:dyDescent="0.45">
      <c r="A28">
        <v>577509</v>
      </c>
      <c r="B28" t="s">
        <v>186</v>
      </c>
      <c r="C28">
        <v>1893518</v>
      </c>
      <c r="D28" t="s">
        <v>80</v>
      </c>
      <c r="E28" t="s">
        <v>362</v>
      </c>
      <c r="F28" t="s">
        <v>20</v>
      </c>
      <c r="G28" t="s">
        <v>363</v>
      </c>
      <c r="H28" t="s">
        <v>364</v>
      </c>
      <c r="I28" t="s">
        <v>30</v>
      </c>
      <c r="J28">
        <v>200</v>
      </c>
      <c r="K28">
        <v>-77</v>
      </c>
      <c r="L28">
        <v>0</v>
      </c>
      <c r="M28">
        <v>883.33</v>
      </c>
      <c r="N28">
        <v>31.216000000000001</v>
      </c>
      <c r="O28" t="s">
        <v>27</v>
      </c>
      <c r="P28" s="1">
        <v>1</v>
      </c>
      <c r="Q28">
        <v>0</v>
      </c>
      <c r="R28">
        <v>1</v>
      </c>
      <c r="T28" t="s">
        <v>20</v>
      </c>
      <c r="U28" t="s">
        <v>105</v>
      </c>
      <c r="V28" t="s">
        <v>365</v>
      </c>
      <c r="W28" t="s">
        <v>336</v>
      </c>
      <c r="X28" t="s">
        <v>225</v>
      </c>
      <c r="Y28" t="s">
        <v>337</v>
      </c>
      <c r="Z28" t="s">
        <v>167</v>
      </c>
      <c r="AI28"/>
    </row>
    <row r="29" spans="1:35" x14ac:dyDescent="0.45">
      <c r="A29">
        <v>631708</v>
      </c>
      <c r="B29" t="s">
        <v>186</v>
      </c>
      <c r="C29">
        <v>1915035</v>
      </c>
      <c r="D29" t="s">
        <v>94</v>
      </c>
      <c r="E29" t="s">
        <v>366</v>
      </c>
      <c r="F29" t="s">
        <v>20</v>
      </c>
      <c r="G29" t="s">
        <v>367</v>
      </c>
      <c r="H29" t="s">
        <v>368</v>
      </c>
      <c r="I29" t="s">
        <v>30</v>
      </c>
      <c r="J29">
        <v>500</v>
      </c>
      <c r="K29">
        <v>-38</v>
      </c>
      <c r="L29">
        <v>0</v>
      </c>
      <c r="M29">
        <v>503.85</v>
      </c>
      <c r="N29">
        <v>74.58</v>
      </c>
      <c r="O29" t="s">
        <v>27</v>
      </c>
      <c r="P29" s="1">
        <v>1</v>
      </c>
      <c r="Q29">
        <v>0</v>
      </c>
      <c r="R29">
        <v>1</v>
      </c>
      <c r="T29" t="s">
        <v>20</v>
      </c>
      <c r="U29" t="s">
        <v>369</v>
      </c>
      <c r="V29" t="s">
        <v>370</v>
      </c>
      <c r="W29" t="s">
        <v>331</v>
      </c>
      <c r="X29" t="s">
        <v>225</v>
      </c>
      <c r="Y29" t="s">
        <v>233</v>
      </c>
      <c r="Z29" t="s">
        <v>201</v>
      </c>
      <c r="AI29"/>
    </row>
    <row r="30" spans="1:35" x14ac:dyDescent="0.45">
      <c r="A30">
        <v>162771</v>
      </c>
      <c r="B30" t="s">
        <v>186</v>
      </c>
      <c r="C30">
        <v>1919422</v>
      </c>
      <c r="D30" t="s">
        <v>371</v>
      </c>
      <c r="E30" t="s">
        <v>372</v>
      </c>
      <c r="F30" t="s">
        <v>373</v>
      </c>
      <c r="G30" t="s">
        <v>20</v>
      </c>
      <c r="H30" t="s">
        <v>374</v>
      </c>
      <c r="I30" t="s">
        <v>30</v>
      </c>
      <c r="J30">
        <v>550</v>
      </c>
      <c r="K30">
        <v>-37</v>
      </c>
      <c r="L30">
        <v>0</v>
      </c>
      <c r="M30">
        <v>500.3</v>
      </c>
      <c r="N30">
        <v>73.81</v>
      </c>
      <c r="O30" t="s">
        <v>27</v>
      </c>
      <c r="P30" s="1">
        <v>0.95652173913043004</v>
      </c>
      <c r="Q30">
        <v>0</v>
      </c>
      <c r="R30">
        <v>9</v>
      </c>
      <c r="T30" t="s">
        <v>20</v>
      </c>
      <c r="U30" t="s">
        <v>102</v>
      </c>
      <c r="V30" t="s">
        <v>375</v>
      </c>
      <c r="W30" t="s">
        <v>331</v>
      </c>
      <c r="X30" t="s">
        <v>225</v>
      </c>
      <c r="Y30" t="s">
        <v>233</v>
      </c>
      <c r="Z30" t="s">
        <v>193</v>
      </c>
      <c r="AI30"/>
    </row>
    <row r="31" spans="1:35" x14ac:dyDescent="0.45">
      <c r="A31">
        <v>285694</v>
      </c>
      <c r="B31" t="s">
        <v>186</v>
      </c>
      <c r="C31">
        <v>1922478</v>
      </c>
      <c r="D31" t="s">
        <v>376</v>
      </c>
      <c r="E31" t="s">
        <v>377</v>
      </c>
      <c r="F31" t="s">
        <v>20</v>
      </c>
      <c r="G31" t="s">
        <v>378</v>
      </c>
      <c r="H31" t="s">
        <v>379</v>
      </c>
      <c r="I31" t="s">
        <v>30</v>
      </c>
      <c r="J31">
        <v>300</v>
      </c>
      <c r="K31">
        <v>-17</v>
      </c>
      <c r="L31">
        <v>0</v>
      </c>
      <c r="M31">
        <v>500.3</v>
      </c>
      <c r="N31">
        <v>24.06</v>
      </c>
      <c r="O31" t="s">
        <v>27</v>
      </c>
      <c r="P31" s="1">
        <v>1</v>
      </c>
      <c r="Q31">
        <v>0</v>
      </c>
      <c r="R31">
        <v>3</v>
      </c>
      <c r="T31" t="s">
        <v>20</v>
      </c>
      <c r="U31" t="s">
        <v>380</v>
      </c>
      <c r="V31" t="s">
        <v>381</v>
      </c>
      <c r="W31" t="s">
        <v>382</v>
      </c>
      <c r="X31" t="s">
        <v>225</v>
      </c>
      <c r="Y31" t="s">
        <v>346</v>
      </c>
      <c r="Z31" t="s">
        <v>200</v>
      </c>
      <c r="AI31"/>
    </row>
    <row r="32" spans="1:35" x14ac:dyDescent="0.45">
      <c r="A32">
        <v>144864</v>
      </c>
      <c r="B32" t="s">
        <v>186</v>
      </c>
      <c r="C32">
        <v>1924479</v>
      </c>
      <c r="D32" t="s">
        <v>383</v>
      </c>
      <c r="E32" t="s">
        <v>384</v>
      </c>
      <c r="F32" t="s">
        <v>20</v>
      </c>
      <c r="G32" t="s">
        <v>385</v>
      </c>
      <c r="H32" t="s">
        <v>386</v>
      </c>
      <c r="I32" t="s">
        <v>22</v>
      </c>
      <c r="J32">
        <v>500</v>
      </c>
      <c r="K32">
        <v>-31</v>
      </c>
      <c r="L32">
        <v>0</v>
      </c>
      <c r="M32">
        <v>765.81</v>
      </c>
      <c r="N32">
        <v>153.16</v>
      </c>
      <c r="O32" t="s">
        <v>27</v>
      </c>
      <c r="P32" s="1">
        <v>0.98780487804878003</v>
      </c>
      <c r="Q32">
        <v>1</v>
      </c>
      <c r="R32">
        <v>6</v>
      </c>
      <c r="S32" t="s">
        <v>28</v>
      </c>
      <c r="T32" t="s">
        <v>20</v>
      </c>
      <c r="U32" t="s">
        <v>151</v>
      </c>
      <c r="V32" t="s">
        <v>231</v>
      </c>
      <c r="W32" t="s">
        <v>232</v>
      </c>
      <c r="X32" t="s">
        <v>225</v>
      </c>
      <c r="Y32" t="s">
        <v>233</v>
      </c>
      <c r="Z32" t="s">
        <v>202</v>
      </c>
      <c r="AI32"/>
    </row>
    <row r="33" spans="1:35" x14ac:dyDescent="0.45">
      <c r="A33">
        <v>383868</v>
      </c>
      <c r="B33" t="s">
        <v>186</v>
      </c>
      <c r="C33">
        <v>1948218</v>
      </c>
      <c r="D33" t="s">
        <v>387</v>
      </c>
      <c r="E33" t="s">
        <v>152</v>
      </c>
      <c r="F33" t="s">
        <v>20</v>
      </c>
      <c r="G33" t="s">
        <v>388</v>
      </c>
      <c r="H33" t="s">
        <v>389</v>
      </c>
      <c r="I33" t="s">
        <v>30</v>
      </c>
      <c r="J33">
        <v>500</v>
      </c>
      <c r="K33">
        <v>-12</v>
      </c>
      <c r="L33">
        <v>0</v>
      </c>
      <c r="M33">
        <v>550.69000000000005</v>
      </c>
      <c r="N33">
        <v>61.137999999999998</v>
      </c>
      <c r="O33" t="s">
        <v>27</v>
      </c>
      <c r="P33" s="1">
        <v>1</v>
      </c>
      <c r="Q33">
        <v>0</v>
      </c>
      <c r="R33">
        <v>4</v>
      </c>
      <c r="T33" t="s">
        <v>20</v>
      </c>
      <c r="U33" t="s">
        <v>106</v>
      </c>
      <c r="V33" t="s">
        <v>390</v>
      </c>
      <c r="W33" t="s">
        <v>336</v>
      </c>
      <c r="X33" t="s">
        <v>225</v>
      </c>
      <c r="Y33" t="s">
        <v>337</v>
      </c>
      <c r="Z33" t="s">
        <v>210</v>
      </c>
      <c r="AI33"/>
    </row>
    <row r="34" spans="1:35" x14ac:dyDescent="0.45">
      <c r="A34">
        <v>136429</v>
      </c>
      <c r="B34" t="s">
        <v>186</v>
      </c>
      <c r="C34">
        <v>1957117</v>
      </c>
      <c r="D34" t="s">
        <v>33</v>
      </c>
      <c r="E34" t="s">
        <v>391</v>
      </c>
      <c r="F34" t="s">
        <v>20</v>
      </c>
      <c r="G34" t="s">
        <v>392</v>
      </c>
      <c r="H34" t="s">
        <v>393</v>
      </c>
      <c r="I34" t="s">
        <v>30</v>
      </c>
      <c r="J34">
        <v>2000</v>
      </c>
      <c r="K34">
        <v>-35</v>
      </c>
      <c r="L34">
        <v>651.97</v>
      </c>
      <c r="M34">
        <v>120.4</v>
      </c>
      <c r="N34">
        <v>231.71</v>
      </c>
      <c r="O34" t="s">
        <v>23</v>
      </c>
      <c r="P34" s="1">
        <v>1</v>
      </c>
      <c r="Q34">
        <v>0</v>
      </c>
      <c r="R34">
        <v>2</v>
      </c>
      <c r="T34" t="s">
        <v>20</v>
      </c>
      <c r="U34" t="s">
        <v>121</v>
      </c>
      <c r="V34" t="s">
        <v>394</v>
      </c>
      <c r="W34" t="s">
        <v>320</v>
      </c>
      <c r="X34" t="s">
        <v>225</v>
      </c>
      <c r="Y34" t="s">
        <v>321</v>
      </c>
      <c r="Z34" t="s">
        <v>193</v>
      </c>
      <c r="AI34"/>
    </row>
    <row r="35" spans="1:35" x14ac:dyDescent="0.45">
      <c r="A35">
        <v>653454</v>
      </c>
      <c r="B35" t="s">
        <v>186</v>
      </c>
      <c r="C35">
        <v>1970099</v>
      </c>
      <c r="D35" t="s">
        <v>154</v>
      </c>
      <c r="E35" t="s">
        <v>395</v>
      </c>
      <c r="F35" t="s">
        <v>20</v>
      </c>
      <c r="G35" t="s">
        <v>396</v>
      </c>
      <c r="H35" t="s">
        <v>397</v>
      </c>
      <c r="I35" t="s">
        <v>30</v>
      </c>
      <c r="J35">
        <v>700</v>
      </c>
      <c r="K35">
        <v>-87</v>
      </c>
      <c r="L35">
        <v>646.79999999999995</v>
      </c>
      <c r="M35">
        <v>0</v>
      </c>
      <c r="N35">
        <v>194.04</v>
      </c>
      <c r="O35" t="s">
        <v>25</v>
      </c>
      <c r="P35" s="1">
        <v>1</v>
      </c>
      <c r="Q35">
        <v>0</v>
      </c>
      <c r="R35">
        <v>1</v>
      </c>
      <c r="T35" t="s">
        <v>20</v>
      </c>
      <c r="U35" t="s">
        <v>124</v>
      </c>
      <c r="V35" t="s">
        <v>238</v>
      </c>
      <c r="W35" t="s">
        <v>398</v>
      </c>
      <c r="X35" t="s">
        <v>225</v>
      </c>
      <c r="Y35" t="s">
        <v>233</v>
      </c>
      <c r="Z35" t="s">
        <v>168</v>
      </c>
      <c r="AI35"/>
    </row>
    <row r="36" spans="1:35" x14ac:dyDescent="0.45">
      <c r="A36">
        <v>139391</v>
      </c>
      <c r="B36" t="s">
        <v>186</v>
      </c>
      <c r="C36">
        <v>1965341</v>
      </c>
      <c r="D36" t="s">
        <v>399</v>
      </c>
      <c r="E36" t="s">
        <v>213</v>
      </c>
      <c r="F36" t="s">
        <v>400</v>
      </c>
      <c r="G36" t="s">
        <v>20</v>
      </c>
      <c r="H36" t="s">
        <v>401</v>
      </c>
      <c r="I36" t="s">
        <v>30</v>
      </c>
      <c r="J36">
        <v>400</v>
      </c>
      <c r="K36">
        <v>-31</v>
      </c>
      <c r="L36">
        <v>0</v>
      </c>
      <c r="M36">
        <v>293.8</v>
      </c>
      <c r="N36">
        <v>58.76</v>
      </c>
      <c r="O36" t="s">
        <v>27</v>
      </c>
      <c r="P36" s="1">
        <v>1</v>
      </c>
      <c r="Q36">
        <v>0</v>
      </c>
      <c r="R36">
        <v>4</v>
      </c>
      <c r="T36" t="s">
        <v>20</v>
      </c>
      <c r="U36" t="s">
        <v>402</v>
      </c>
      <c r="V36" t="s">
        <v>160</v>
      </c>
      <c r="W36" t="s">
        <v>403</v>
      </c>
      <c r="X36" t="s">
        <v>225</v>
      </c>
      <c r="Y36" t="s">
        <v>253</v>
      </c>
      <c r="Z36" t="s">
        <v>202</v>
      </c>
      <c r="AI36"/>
    </row>
    <row r="37" spans="1:35" x14ac:dyDescent="0.45">
      <c r="A37">
        <v>408024</v>
      </c>
      <c r="B37" t="s">
        <v>186</v>
      </c>
      <c r="C37">
        <v>1973283</v>
      </c>
      <c r="D37" t="s">
        <v>404</v>
      </c>
      <c r="E37" t="s">
        <v>405</v>
      </c>
      <c r="F37" t="s">
        <v>20</v>
      </c>
      <c r="G37" t="s">
        <v>406</v>
      </c>
      <c r="H37" t="s">
        <v>407</v>
      </c>
      <c r="I37" t="s">
        <v>22</v>
      </c>
      <c r="J37">
        <v>600</v>
      </c>
      <c r="K37">
        <v>-16</v>
      </c>
      <c r="L37">
        <v>0</v>
      </c>
      <c r="M37">
        <v>518.91999999999996</v>
      </c>
      <c r="N37">
        <v>103.79</v>
      </c>
      <c r="O37" t="s">
        <v>27</v>
      </c>
      <c r="P37" s="1">
        <v>1</v>
      </c>
      <c r="Q37">
        <v>0</v>
      </c>
      <c r="R37">
        <v>4</v>
      </c>
      <c r="S37" t="s">
        <v>28</v>
      </c>
      <c r="T37" t="s">
        <v>20</v>
      </c>
      <c r="U37" t="s">
        <v>112</v>
      </c>
      <c r="V37" t="s">
        <v>408</v>
      </c>
      <c r="W37" t="s">
        <v>320</v>
      </c>
      <c r="X37" t="s">
        <v>225</v>
      </c>
      <c r="Y37" t="s">
        <v>321</v>
      </c>
      <c r="Z37" t="s">
        <v>205</v>
      </c>
      <c r="AI37"/>
    </row>
    <row r="38" spans="1:35" x14ac:dyDescent="0.45">
      <c r="A38">
        <v>140103</v>
      </c>
      <c r="B38" t="s">
        <v>186</v>
      </c>
      <c r="C38">
        <v>1976226</v>
      </c>
      <c r="D38" t="s">
        <v>409</v>
      </c>
      <c r="E38" t="s">
        <v>206</v>
      </c>
      <c r="F38" t="s">
        <v>20</v>
      </c>
      <c r="G38" t="s">
        <v>410</v>
      </c>
      <c r="H38" t="s">
        <v>411</v>
      </c>
      <c r="I38" t="s">
        <v>30</v>
      </c>
      <c r="J38">
        <v>500</v>
      </c>
      <c r="K38">
        <v>-30</v>
      </c>
      <c r="L38">
        <v>565.16</v>
      </c>
      <c r="M38">
        <v>380.85</v>
      </c>
      <c r="N38">
        <v>283.81</v>
      </c>
      <c r="O38" t="s">
        <v>23</v>
      </c>
      <c r="P38" s="1">
        <v>0.90163934426228998</v>
      </c>
      <c r="Q38">
        <v>0</v>
      </c>
      <c r="R38">
        <v>4</v>
      </c>
      <c r="S38" t="s">
        <v>34</v>
      </c>
      <c r="T38" t="s">
        <v>20</v>
      </c>
      <c r="U38" t="s">
        <v>108</v>
      </c>
      <c r="V38" t="s">
        <v>412</v>
      </c>
      <c r="W38" t="s">
        <v>341</v>
      </c>
      <c r="X38" t="s">
        <v>225</v>
      </c>
      <c r="Y38" t="s">
        <v>233</v>
      </c>
      <c r="Z38" t="s">
        <v>216</v>
      </c>
      <c r="AI38"/>
    </row>
    <row r="39" spans="1:35" x14ac:dyDescent="0.45">
      <c r="A39">
        <v>209933</v>
      </c>
      <c r="B39" t="s">
        <v>186</v>
      </c>
      <c r="C39">
        <v>1988367</v>
      </c>
      <c r="D39" t="s">
        <v>153</v>
      </c>
      <c r="E39" t="s">
        <v>180</v>
      </c>
      <c r="F39" t="s">
        <v>20</v>
      </c>
      <c r="G39" t="s">
        <v>413</v>
      </c>
      <c r="H39" t="s">
        <v>414</v>
      </c>
      <c r="I39" t="s">
        <v>30</v>
      </c>
      <c r="J39">
        <v>400</v>
      </c>
      <c r="K39">
        <v>-41</v>
      </c>
      <c r="L39">
        <v>0</v>
      </c>
      <c r="M39">
        <v>268.75</v>
      </c>
      <c r="N39">
        <v>53.75</v>
      </c>
      <c r="O39" t="s">
        <v>27</v>
      </c>
      <c r="P39" s="1">
        <v>1</v>
      </c>
      <c r="Q39">
        <v>0</v>
      </c>
      <c r="R39">
        <v>4</v>
      </c>
      <c r="S39" t="s">
        <v>28</v>
      </c>
      <c r="T39" t="s">
        <v>105</v>
      </c>
      <c r="U39" t="s">
        <v>122</v>
      </c>
      <c r="V39" t="s">
        <v>415</v>
      </c>
      <c r="W39" t="s">
        <v>416</v>
      </c>
      <c r="X39" t="s">
        <v>225</v>
      </c>
      <c r="Y39" t="s">
        <v>233</v>
      </c>
      <c r="Z39" t="s">
        <v>190</v>
      </c>
      <c r="AI39"/>
    </row>
    <row r="40" spans="1:35" x14ac:dyDescent="0.45">
      <c r="A40">
        <v>657226</v>
      </c>
      <c r="B40" t="s">
        <v>186</v>
      </c>
      <c r="C40">
        <v>1991029</v>
      </c>
      <c r="D40" t="s">
        <v>417</v>
      </c>
      <c r="E40" t="s">
        <v>418</v>
      </c>
      <c r="F40" t="s">
        <v>20</v>
      </c>
      <c r="G40" t="s">
        <v>419</v>
      </c>
      <c r="H40" t="s">
        <v>420</v>
      </c>
      <c r="I40" t="s">
        <v>22</v>
      </c>
      <c r="J40">
        <v>500</v>
      </c>
      <c r="K40">
        <v>-27</v>
      </c>
      <c r="L40">
        <v>442.25</v>
      </c>
      <c r="M40">
        <v>0</v>
      </c>
      <c r="N40">
        <v>88.45</v>
      </c>
      <c r="O40" t="s">
        <v>25</v>
      </c>
      <c r="P40" s="1">
        <v>1</v>
      </c>
      <c r="Q40">
        <v>0</v>
      </c>
      <c r="R40">
        <v>1</v>
      </c>
      <c r="T40" t="s">
        <v>20</v>
      </c>
      <c r="U40" t="s">
        <v>421</v>
      </c>
      <c r="V40" t="s">
        <v>422</v>
      </c>
      <c r="W40" t="s">
        <v>423</v>
      </c>
      <c r="X40" t="s">
        <v>225</v>
      </c>
      <c r="Y40" t="s">
        <v>233</v>
      </c>
      <c r="Z40" t="s">
        <v>188</v>
      </c>
      <c r="AI40"/>
    </row>
    <row r="41" spans="1:35" x14ac:dyDescent="0.45">
      <c r="A41">
        <v>656586</v>
      </c>
      <c r="B41" t="s">
        <v>186</v>
      </c>
      <c r="C41">
        <v>1988019</v>
      </c>
      <c r="D41" t="s">
        <v>424</v>
      </c>
      <c r="E41" t="s">
        <v>425</v>
      </c>
      <c r="F41" t="s">
        <v>20</v>
      </c>
      <c r="G41" t="s">
        <v>426</v>
      </c>
      <c r="H41" t="s">
        <v>427</v>
      </c>
      <c r="I41" t="s">
        <v>30</v>
      </c>
      <c r="J41">
        <v>300</v>
      </c>
      <c r="K41">
        <v>-9</v>
      </c>
      <c r="L41">
        <v>0</v>
      </c>
      <c r="M41">
        <v>330.6</v>
      </c>
      <c r="N41">
        <v>66.12</v>
      </c>
      <c r="O41" t="s">
        <v>27</v>
      </c>
      <c r="P41" s="1">
        <v>1</v>
      </c>
      <c r="Q41">
        <v>0</v>
      </c>
      <c r="R41">
        <v>1</v>
      </c>
      <c r="T41" t="s">
        <v>20</v>
      </c>
      <c r="U41" t="s">
        <v>114</v>
      </c>
      <c r="V41" t="s">
        <v>428</v>
      </c>
      <c r="X41" t="s">
        <v>189</v>
      </c>
      <c r="Z41" t="s">
        <v>192</v>
      </c>
      <c r="AI41"/>
    </row>
    <row r="42" spans="1:35" x14ac:dyDescent="0.45">
      <c r="A42">
        <v>324668</v>
      </c>
      <c r="B42" t="s">
        <v>186</v>
      </c>
      <c r="C42">
        <v>2006715</v>
      </c>
      <c r="D42" t="s">
        <v>433</v>
      </c>
      <c r="E42" t="s">
        <v>434</v>
      </c>
      <c r="F42" t="s">
        <v>20</v>
      </c>
      <c r="G42" t="s">
        <v>435</v>
      </c>
      <c r="H42" t="s">
        <v>436</v>
      </c>
      <c r="I42" t="s">
        <v>30</v>
      </c>
      <c r="J42">
        <v>350</v>
      </c>
      <c r="K42">
        <v>-25</v>
      </c>
      <c r="L42">
        <v>0</v>
      </c>
      <c r="M42">
        <v>287.55</v>
      </c>
      <c r="N42">
        <v>57.51</v>
      </c>
      <c r="O42" t="s">
        <v>27</v>
      </c>
      <c r="P42" s="1">
        <v>1</v>
      </c>
      <c r="Q42">
        <v>0</v>
      </c>
      <c r="R42">
        <v>10</v>
      </c>
      <c r="S42" t="s">
        <v>28</v>
      </c>
      <c r="T42" t="s">
        <v>20</v>
      </c>
      <c r="U42" t="s">
        <v>109</v>
      </c>
      <c r="V42" t="s">
        <v>437</v>
      </c>
      <c r="W42" t="s">
        <v>265</v>
      </c>
      <c r="X42" t="s">
        <v>225</v>
      </c>
      <c r="Z42" t="s">
        <v>214</v>
      </c>
      <c r="AI42"/>
    </row>
    <row r="43" spans="1:35" x14ac:dyDescent="0.45">
      <c r="A43">
        <v>136451</v>
      </c>
      <c r="B43" t="s">
        <v>186</v>
      </c>
      <c r="C43">
        <v>2008775</v>
      </c>
      <c r="D43" t="s">
        <v>429</v>
      </c>
      <c r="E43" t="s">
        <v>184</v>
      </c>
      <c r="F43" t="s">
        <v>20</v>
      </c>
      <c r="G43" t="s">
        <v>430</v>
      </c>
      <c r="H43" t="s">
        <v>431</v>
      </c>
      <c r="I43" t="s">
        <v>30</v>
      </c>
      <c r="J43">
        <v>200</v>
      </c>
      <c r="K43">
        <v>-26</v>
      </c>
      <c r="L43">
        <v>0</v>
      </c>
      <c r="M43">
        <v>543.70000000000005</v>
      </c>
      <c r="N43">
        <v>50.1</v>
      </c>
      <c r="O43" t="s">
        <v>27</v>
      </c>
      <c r="P43" s="1">
        <v>0.91666666666665997</v>
      </c>
      <c r="Q43">
        <v>0</v>
      </c>
      <c r="R43">
        <v>3</v>
      </c>
      <c r="T43" t="s">
        <v>20</v>
      </c>
      <c r="U43" t="s">
        <v>104</v>
      </c>
      <c r="V43" t="s">
        <v>432</v>
      </c>
      <c r="W43" t="s">
        <v>345</v>
      </c>
      <c r="X43" t="s">
        <v>225</v>
      </c>
      <c r="Y43" t="s">
        <v>346</v>
      </c>
      <c r="Z43" t="s">
        <v>214</v>
      </c>
      <c r="AI43"/>
    </row>
    <row r="44" spans="1:35" x14ac:dyDescent="0.45">
      <c r="A44">
        <v>528129</v>
      </c>
      <c r="B44" t="s">
        <v>186</v>
      </c>
      <c r="C44">
        <v>2024327</v>
      </c>
      <c r="D44" t="s">
        <v>438</v>
      </c>
      <c r="E44" t="s">
        <v>295</v>
      </c>
      <c r="F44" t="s">
        <v>20</v>
      </c>
      <c r="G44" t="s">
        <v>439</v>
      </c>
      <c r="H44" t="s">
        <v>440</v>
      </c>
      <c r="I44" t="s">
        <v>30</v>
      </c>
      <c r="J44">
        <v>500</v>
      </c>
      <c r="K44">
        <v>-23</v>
      </c>
      <c r="L44">
        <v>0</v>
      </c>
      <c r="M44">
        <v>730.44</v>
      </c>
      <c r="N44">
        <v>80.020000000000095</v>
      </c>
      <c r="O44" t="s">
        <v>27</v>
      </c>
      <c r="P44" s="1">
        <v>0.94285714285713995</v>
      </c>
      <c r="Q44">
        <v>0</v>
      </c>
      <c r="R44">
        <v>3</v>
      </c>
      <c r="S44" t="s">
        <v>28</v>
      </c>
      <c r="T44" t="s">
        <v>20</v>
      </c>
      <c r="U44" t="s">
        <v>102</v>
      </c>
      <c r="V44" t="s">
        <v>441</v>
      </c>
      <c r="W44" t="s">
        <v>276</v>
      </c>
      <c r="X44" t="s">
        <v>225</v>
      </c>
      <c r="Y44" t="s">
        <v>277</v>
      </c>
      <c r="Z44" t="s">
        <v>195</v>
      </c>
      <c r="AI44"/>
    </row>
    <row r="45" spans="1:35" x14ac:dyDescent="0.45">
      <c r="A45">
        <v>222894</v>
      </c>
      <c r="B45" t="s">
        <v>186</v>
      </c>
      <c r="C45">
        <v>2047056</v>
      </c>
      <c r="D45" t="s">
        <v>442</v>
      </c>
      <c r="E45" t="s">
        <v>443</v>
      </c>
      <c r="F45" t="s">
        <v>20</v>
      </c>
      <c r="G45" t="s">
        <v>444</v>
      </c>
      <c r="H45" t="s">
        <v>445</v>
      </c>
      <c r="I45" t="s">
        <v>30</v>
      </c>
      <c r="J45">
        <v>400</v>
      </c>
      <c r="K45">
        <v>-21</v>
      </c>
      <c r="L45">
        <v>0</v>
      </c>
      <c r="M45">
        <v>643.86</v>
      </c>
      <c r="N45">
        <v>128.77199999999999</v>
      </c>
      <c r="O45" t="s">
        <v>27</v>
      </c>
      <c r="P45" s="1">
        <v>0.90196078431371995</v>
      </c>
      <c r="Q45">
        <v>0</v>
      </c>
      <c r="R45">
        <v>4</v>
      </c>
      <c r="T45" t="s">
        <v>20</v>
      </c>
      <c r="U45" t="s">
        <v>101</v>
      </c>
      <c r="V45" t="s">
        <v>446</v>
      </c>
      <c r="W45" t="s">
        <v>276</v>
      </c>
      <c r="X45" t="s">
        <v>225</v>
      </c>
      <c r="Y45" t="s">
        <v>277</v>
      </c>
      <c r="Z45" t="s">
        <v>187</v>
      </c>
      <c r="AI45"/>
    </row>
    <row r="46" spans="1:35" x14ac:dyDescent="0.45">
      <c r="A46">
        <v>665998</v>
      </c>
      <c r="B46" t="s">
        <v>186</v>
      </c>
      <c r="C46">
        <v>2024149</v>
      </c>
      <c r="D46" t="s">
        <v>447</v>
      </c>
      <c r="E46" t="s">
        <v>448</v>
      </c>
      <c r="F46" t="s">
        <v>20</v>
      </c>
      <c r="G46" t="s">
        <v>449</v>
      </c>
      <c r="H46" t="s">
        <v>450</v>
      </c>
      <c r="I46" t="s">
        <v>22</v>
      </c>
      <c r="J46">
        <v>1000</v>
      </c>
      <c r="K46">
        <v>-5</v>
      </c>
      <c r="L46">
        <v>829.78</v>
      </c>
      <c r="M46">
        <v>0</v>
      </c>
      <c r="N46">
        <v>248.93</v>
      </c>
      <c r="O46" t="s">
        <v>25</v>
      </c>
      <c r="P46" s="1">
        <v>1</v>
      </c>
      <c r="Q46">
        <v>0</v>
      </c>
      <c r="R46">
        <v>1</v>
      </c>
      <c r="S46" t="s">
        <v>24</v>
      </c>
      <c r="T46" t="s">
        <v>20</v>
      </c>
      <c r="U46" t="s">
        <v>218</v>
      </c>
      <c r="V46" t="s">
        <v>451</v>
      </c>
      <c r="W46" t="s">
        <v>452</v>
      </c>
      <c r="X46" t="s">
        <v>21</v>
      </c>
      <c r="Y46" t="s">
        <v>453</v>
      </c>
      <c r="Z46" t="s">
        <v>203</v>
      </c>
      <c r="AI46"/>
    </row>
    <row r="47" spans="1:35" x14ac:dyDescent="0.45">
      <c r="A47">
        <v>661217</v>
      </c>
      <c r="B47" t="s">
        <v>186</v>
      </c>
      <c r="C47">
        <v>2053620</v>
      </c>
      <c r="D47" t="s">
        <v>150</v>
      </c>
      <c r="E47" t="s">
        <v>209</v>
      </c>
      <c r="F47" t="s">
        <v>20</v>
      </c>
      <c r="G47" t="s">
        <v>454</v>
      </c>
      <c r="H47" t="s">
        <v>455</v>
      </c>
      <c r="I47" t="s">
        <v>30</v>
      </c>
      <c r="J47">
        <v>250</v>
      </c>
      <c r="K47">
        <v>-10</v>
      </c>
      <c r="L47">
        <v>0</v>
      </c>
      <c r="M47">
        <v>274.95</v>
      </c>
      <c r="N47">
        <v>54.99</v>
      </c>
      <c r="O47" t="s">
        <v>27</v>
      </c>
      <c r="P47" s="1">
        <v>1</v>
      </c>
      <c r="Q47">
        <v>0</v>
      </c>
      <c r="R47">
        <v>2</v>
      </c>
      <c r="S47" t="s">
        <v>28</v>
      </c>
      <c r="T47" t="s">
        <v>20</v>
      </c>
      <c r="U47" t="s">
        <v>211</v>
      </c>
      <c r="V47" t="s">
        <v>231</v>
      </c>
      <c r="W47" t="s">
        <v>232</v>
      </c>
      <c r="X47" t="s">
        <v>225</v>
      </c>
      <c r="Y47" t="s">
        <v>233</v>
      </c>
      <c r="Z47" t="s">
        <v>191</v>
      </c>
      <c r="AI47"/>
    </row>
    <row r="48" spans="1:35" x14ac:dyDescent="0.45">
      <c r="A48">
        <v>345437</v>
      </c>
      <c r="B48" t="s">
        <v>186</v>
      </c>
      <c r="C48">
        <v>2064418</v>
      </c>
      <c r="D48" t="s">
        <v>75</v>
      </c>
      <c r="E48" t="s">
        <v>456</v>
      </c>
      <c r="F48" t="s">
        <v>20</v>
      </c>
      <c r="G48" t="s">
        <v>457</v>
      </c>
      <c r="H48" t="s">
        <v>458</v>
      </c>
      <c r="I48" t="s">
        <v>30</v>
      </c>
      <c r="J48">
        <v>250</v>
      </c>
      <c r="K48">
        <v>-22</v>
      </c>
      <c r="L48">
        <v>0</v>
      </c>
      <c r="M48">
        <v>271.7</v>
      </c>
      <c r="N48">
        <v>54.34</v>
      </c>
      <c r="O48" t="s">
        <v>27</v>
      </c>
      <c r="P48" s="1">
        <v>1</v>
      </c>
      <c r="Q48">
        <v>0</v>
      </c>
      <c r="R48">
        <v>5</v>
      </c>
      <c r="S48" t="s">
        <v>28</v>
      </c>
      <c r="T48" t="s">
        <v>20</v>
      </c>
      <c r="U48" t="s">
        <v>115</v>
      </c>
      <c r="V48" t="s">
        <v>459</v>
      </c>
      <c r="W48" t="s">
        <v>232</v>
      </c>
      <c r="X48" t="s">
        <v>225</v>
      </c>
      <c r="Y48" t="s">
        <v>233</v>
      </c>
      <c r="Z48" t="s">
        <v>197</v>
      </c>
      <c r="AI48"/>
    </row>
    <row r="49" spans="1:35" x14ac:dyDescent="0.45">
      <c r="A49">
        <v>582684</v>
      </c>
      <c r="B49" t="s">
        <v>186</v>
      </c>
      <c r="C49">
        <v>2095107</v>
      </c>
      <c r="D49" t="s">
        <v>460</v>
      </c>
      <c r="E49" t="s">
        <v>461</v>
      </c>
      <c r="F49" t="s">
        <v>20</v>
      </c>
      <c r="G49" t="s">
        <v>462</v>
      </c>
      <c r="H49" t="s">
        <v>463</v>
      </c>
      <c r="I49" t="s">
        <v>30</v>
      </c>
      <c r="J49">
        <v>300</v>
      </c>
      <c r="K49">
        <v>-8</v>
      </c>
      <c r="L49">
        <v>0</v>
      </c>
      <c r="M49">
        <v>271.7</v>
      </c>
      <c r="N49">
        <v>40.119999999999997</v>
      </c>
      <c r="O49" t="s">
        <v>27</v>
      </c>
      <c r="P49" s="1">
        <v>0.93333333333333002</v>
      </c>
      <c r="Q49">
        <v>0</v>
      </c>
      <c r="R49">
        <v>3</v>
      </c>
      <c r="S49" t="s">
        <v>28</v>
      </c>
      <c r="T49" t="s">
        <v>107</v>
      </c>
      <c r="U49" t="s">
        <v>105</v>
      </c>
      <c r="V49" t="s">
        <v>464</v>
      </c>
      <c r="W49" t="s">
        <v>239</v>
      </c>
      <c r="X49" t="s">
        <v>225</v>
      </c>
      <c r="Y49" t="s">
        <v>233</v>
      </c>
      <c r="Z49" t="s">
        <v>212</v>
      </c>
      <c r="AI49"/>
    </row>
    <row r="50" spans="1:35" x14ac:dyDescent="0.45">
      <c r="A50">
        <v>663238</v>
      </c>
      <c r="B50" t="s">
        <v>186</v>
      </c>
      <c r="C50">
        <v>2117299</v>
      </c>
      <c r="D50" t="s">
        <v>157</v>
      </c>
      <c r="E50" t="s">
        <v>465</v>
      </c>
      <c r="F50" t="s">
        <v>20</v>
      </c>
      <c r="G50" t="s">
        <v>466</v>
      </c>
      <c r="H50" t="s">
        <v>467</v>
      </c>
      <c r="I50" t="s">
        <v>30</v>
      </c>
      <c r="J50">
        <v>200</v>
      </c>
      <c r="K50">
        <v>-3</v>
      </c>
      <c r="L50">
        <v>0</v>
      </c>
      <c r="M50">
        <v>338.51</v>
      </c>
      <c r="N50">
        <v>58.51</v>
      </c>
      <c r="O50" t="s">
        <v>27</v>
      </c>
      <c r="P50" s="1">
        <v>1</v>
      </c>
      <c r="Q50">
        <v>0</v>
      </c>
      <c r="R50">
        <v>2</v>
      </c>
      <c r="T50" t="s">
        <v>20</v>
      </c>
      <c r="U50" t="s">
        <v>110</v>
      </c>
      <c r="V50" t="s">
        <v>126</v>
      </c>
      <c r="W50" t="s">
        <v>252</v>
      </c>
      <c r="X50" t="s">
        <v>225</v>
      </c>
      <c r="Y50" t="s">
        <v>253</v>
      </c>
      <c r="Z50" t="s">
        <v>198</v>
      </c>
      <c r="AI50"/>
    </row>
    <row r="51" spans="1:35" x14ac:dyDescent="0.45">
      <c r="AI51"/>
    </row>
    <row r="52" spans="1:35" x14ac:dyDescent="0.45">
      <c r="AI52"/>
    </row>
    <row r="53" spans="1:35" x14ac:dyDescent="0.45">
      <c r="AI53"/>
    </row>
    <row r="54" spans="1:35" x14ac:dyDescent="0.45">
      <c r="AI54"/>
    </row>
    <row r="55" spans="1:35" x14ac:dyDescent="0.45">
      <c r="AI55"/>
    </row>
    <row r="56" spans="1:35" x14ac:dyDescent="0.45">
      <c r="AI56"/>
    </row>
    <row r="57" spans="1:35" x14ac:dyDescent="0.45">
      <c r="AI57"/>
    </row>
    <row r="58" spans="1:35" x14ac:dyDescent="0.45">
      <c r="AI58"/>
    </row>
    <row r="59" spans="1:35" x14ac:dyDescent="0.45">
      <c r="AI59"/>
    </row>
    <row r="60" spans="1:35" x14ac:dyDescent="0.45">
      <c r="AI60"/>
    </row>
    <row r="61" spans="1:35" x14ac:dyDescent="0.45">
      <c r="AI61"/>
    </row>
    <row r="62" spans="1:35" x14ac:dyDescent="0.45">
      <c r="AI62"/>
    </row>
    <row r="63" spans="1:35" x14ac:dyDescent="0.45">
      <c r="AI63"/>
    </row>
    <row r="64" spans="1:35" x14ac:dyDescent="0.45">
      <c r="AI64"/>
    </row>
    <row r="65" spans="35:35" x14ac:dyDescent="0.45">
      <c r="AI65"/>
    </row>
    <row r="66" spans="35:35" x14ac:dyDescent="0.45">
      <c r="AI66"/>
    </row>
    <row r="67" spans="35:35" x14ac:dyDescent="0.45">
      <c r="AI67"/>
    </row>
    <row r="68" spans="35:35" x14ac:dyDescent="0.45">
      <c r="AI68"/>
    </row>
    <row r="69" spans="35:35" x14ac:dyDescent="0.45">
      <c r="AI69"/>
    </row>
    <row r="70" spans="35:35" x14ac:dyDescent="0.45">
      <c r="AI70"/>
    </row>
    <row r="71" spans="35:35" x14ac:dyDescent="0.45">
      <c r="AI71"/>
    </row>
    <row r="72" spans="35:35" x14ac:dyDescent="0.45">
      <c r="AI72"/>
    </row>
    <row r="73" spans="35:35" x14ac:dyDescent="0.45">
      <c r="AI73"/>
    </row>
    <row r="74" spans="35:35" x14ac:dyDescent="0.45">
      <c r="AI74"/>
    </row>
    <row r="75" spans="35:35" x14ac:dyDescent="0.45">
      <c r="AI75"/>
    </row>
    <row r="76" spans="35:35" x14ac:dyDescent="0.45">
      <c r="AI76"/>
    </row>
    <row r="77" spans="35:35" x14ac:dyDescent="0.45">
      <c r="AI77"/>
    </row>
    <row r="78" spans="35:35" x14ac:dyDescent="0.45">
      <c r="AI78"/>
    </row>
    <row r="79" spans="35:35" x14ac:dyDescent="0.45">
      <c r="AI79"/>
    </row>
    <row r="80" spans="35:35" x14ac:dyDescent="0.45">
      <c r="AI80"/>
    </row>
    <row r="81" spans="35:35" x14ac:dyDescent="0.45">
      <c r="AI81"/>
    </row>
    <row r="82" spans="35:35" x14ac:dyDescent="0.45">
      <c r="AI82"/>
    </row>
    <row r="83" spans="35:35" x14ac:dyDescent="0.45">
      <c r="AI83"/>
    </row>
    <row r="84" spans="35:35" x14ac:dyDescent="0.45">
      <c r="AI84"/>
    </row>
    <row r="85" spans="35:35" x14ac:dyDescent="0.45">
      <c r="AI85"/>
    </row>
    <row r="86" spans="35:35" x14ac:dyDescent="0.45">
      <c r="AI86"/>
    </row>
    <row r="87" spans="35:35" x14ac:dyDescent="0.45">
      <c r="AI87"/>
    </row>
    <row r="88" spans="35:35" x14ac:dyDescent="0.45">
      <c r="AI88"/>
    </row>
    <row r="89" spans="35:35" x14ac:dyDescent="0.45">
      <c r="AI89"/>
    </row>
    <row r="90" spans="35:35" x14ac:dyDescent="0.45">
      <c r="AI90"/>
    </row>
    <row r="91" spans="35:35" x14ac:dyDescent="0.45">
      <c r="AI91"/>
    </row>
    <row r="92" spans="35:35" x14ac:dyDescent="0.45">
      <c r="AI92"/>
    </row>
    <row r="93" spans="35:35" x14ac:dyDescent="0.45">
      <c r="AI93"/>
    </row>
    <row r="94" spans="35:35" x14ac:dyDescent="0.45">
      <c r="AI94"/>
    </row>
    <row r="95" spans="35:35" x14ac:dyDescent="0.45">
      <c r="AI95"/>
    </row>
    <row r="96" spans="35:35" x14ac:dyDescent="0.45">
      <c r="AI96"/>
    </row>
    <row r="97" spans="35:35" x14ac:dyDescent="0.45">
      <c r="AI97"/>
    </row>
    <row r="98" spans="35:35" x14ac:dyDescent="0.45">
      <c r="AI98"/>
    </row>
    <row r="99" spans="35:35" x14ac:dyDescent="0.45">
      <c r="AI99"/>
    </row>
    <row r="100" spans="35:35" x14ac:dyDescent="0.45">
      <c r="AI100"/>
    </row>
    <row r="101" spans="35:35" x14ac:dyDescent="0.45">
      <c r="AI101"/>
    </row>
    <row r="102" spans="35:35" x14ac:dyDescent="0.45">
      <c r="AI102"/>
    </row>
    <row r="103" spans="35:35" x14ac:dyDescent="0.45">
      <c r="AI103"/>
    </row>
    <row r="104" spans="35:35" x14ac:dyDescent="0.45">
      <c r="AI104"/>
    </row>
    <row r="105" spans="35:35" x14ac:dyDescent="0.45">
      <c r="AI105"/>
    </row>
    <row r="106" spans="35:35" x14ac:dyDescent="0.45">
      <c r="AI106"/>
    </row>
    <row r="107" spans="35:35" x14ac:dyDescent="0.45">
      <c r="AI107"/>
    </row>
    <row r="108" spans="35:35" x14ac:dyDescent="0.45">
      <c r="AI108"/>
    </row>
    <row r="109" spans="35:35" x14ac:dyDescent="0.45">
      <c r="AI109"/>
    </row>
    <row r="110" spans="35:35" x14ac:dyDescent="0.45">
      <c r="AI110"/>
    </row>
    <row r="111" spans="35:35" x14ac:dyDescent="0.45">
      <c r="AI111"/>
    </row>
    <row r="112" spans="35:35" x14ac:dyDescent="0.45">
      <c r="AI112"/>
    </row>
    <row r="113" spans="35:35" x14ac:dyDescent="0.45">
      <c r="AI113"/>
    </row>
    <row r="114" spans="35:35" x14ac:dyDescent="0.45">
      <c r="AI114"/>
    </row>
    <row r="115" spans="35:35" x14ac:dyDescent="0.45">
      <c r="AI115"/>
    </row>
    <row r="116" spans="35:35" x14ac:dyDescent="0.45">
      <c r="AI116"/>
    </row>
    <row r="117" spans="35:35" x14ac:dyDescent="0.45">
      <c r="AI117"/>
    </row>
    <row r="118" spans="35:35" x14ac:dyDescent="0.45">
      <c r="AI118"/>
    </row>
    <row r="119" spans="35:35" x14ac:dyDescent="0.45">
      <c r="AI119"/>
    </row>
    <row r="120" spans="35:35" x14ac:dyDescent="0.45">
      <c r="AI120"/>
    </row>
    <row r="121" spans="35:35" x14ac:dyDescent="0.45">
      <c r="AI121"/>
    </row>
    <row r="122" spans="35:35" x14ac:dyDescent="0.45">
      <c r="AI122"/>
    </row>
    <row r="123" spans="35:35" x14ac:dyDescent="0.45">
      <c r="AI123"/>
    </row>
    <row r="124" spans="35:35" x14ac:dyDescent="0.45">
      <c r="AI124"/>
    </row>
    <row r="125" spans="35:35" x14ac:dyDescent="0.45">
      <c r="AI125"/>
    </row>
    <row r="126" spans="35:35" x14ac:dyDescent="0.45">
      <c r="AI126"/>
    </row>
    <row r="127" spans="35:35" x14ac:dyDescent="0.45">
      <c r="AI127"/>
    </row>
    <row r="128" spans="35:35" x14ac:dyDescent="0.45">
      <c r="AI128"/>
    </row>
    <row r="129" spans="35:35" x14ac:dyDescent="0.45">
      <c r="AI129"/>
    </row>
    <row r="130" spans="35:35" x14ac:dyDescent="0.45">
      <c r="AI130"/>
    </row>
    <row r="131" spans="35:35" x14ac:dyDescent="0.45">
      <c r="AI131"/>
    </row>
    <row r="132" spans="35:35" x14ac:dyDescent="0.45">
      <c r="AI132"/>
    </row>
    <row r="133" spans="35:35" x14ac:dyDescent="0.45">
      <c r="AI133"/>
    </row>
    <row r="134" spans="35:35" x14ac:dyDescent="0.45">
      <c r="AI134"/>
    </row>
    <row r="135" spans="35:35" x14ac:dyDescent="0.45">
      <c r="AI135"/>
    </row>
    <row r="136" spans="35:35" x14ac:dyDescent="0.45">
      <c r="AI136"/>
    </row>
    <row r="137" spans="35:35" x14ac:dyDescent="0.45">
      <c r="AI137"/>
    </row>
    <row r="138" spans="35:35" x14ac:dyDescent="0.45">
      <c r="AI138"/>
    </row>
    <row r="139" spans="35:35" x14ac:dyDescent="0.45">
      <c r="AI139"/>
    </row>
    <row r="140" spans="35:35" x14ac:dyDescent="0.45">
      <c r="AI140"/>
    </row>
    <row r="141" spans="35:35" x14ac:dyDescent="0.45">
      <c r="AI141"/>
    </row>
    <row r="142" spans="35:35" x14ac:dyDescent="0.45">
      <c r="AI142"/>
    </row>
    <row r="143" spans="35:35" x14ac:dyDescent="0.45">
      <c r="AI143"/>
    </row>
    <row r="144" spans="35:35" x14ac:dyDescent="0.45">
      <c r="AI144"/>
    </row>
    <row r="145" spans="35:35" x14ac:dyDescent="0.45">
      <c r="AI145"/>
    </row>
    <row r="146" spans="35:35" x14ac:dyDescent="0.45">
      <c r="AI146"/>
    </row>
    <row r="147" spans="35:35" x14ac:dyDescent="0.45">
      <c r="AI147"/>
    </row>
    <row r="148" spans="35:35" x14ac:dyDescent="0.45">
      <c r="AI148"/>
    </row>
    <row r="149" spans="35:35" x14ac:dyDescent="0.45">
      <c r="AI149"/>
    </row>
    <row r="150" spans="35:35" x14ac:dyDescent="0.45">
      <c r="AI150"/>
    </row>
    <row r="151" spans="35:35" x14ac:dyDescent="0.45">
      <c r="AI151"/>
    </row>
    <row r="152" spans="35:35" x14ac:dyDescent="0.45">
      <c r="AI152"/>
    </row>
    <row r="153" spans="35:35" x14ac:dyDescent="0.45">
      <c r="AI153"/>
    </row>
    <row r="154" spans="35:35" x14ac:dyDescent="0.45">
      <c r="AI154"/>
    </row>
    <row r="155" spans="35:35" x14ac:dyDescent="0.45">
      <c r="AI155"/>
    </row>
    <row r="156" spans="35:35" x14ac:dyDescent="0.45">
      <c r="AI156"/>
    </row>
    <row r="157" spans="35:35" x14ac:dyDescent="0.45">
      <c r="AI157"/>
    </row>
    <row r="158" spans="35:35" x14ac:dyDescent="0.45">
      <c r="AI158"/>
    </row>
    <row r="159" spans="35:35" x14ac:dyDescent="0.45">
      <c r="AI159"/>
    </row>
    <row r="160" spans="35:35" x14ac:dyDescent="0.45">
      <c r="AI160"/>
    </row>
    <row r="161" spans="35:35" x14ac:dyDescent="0.45">
      <c r="AI161"/>
    </row>
    <row r="162" spans="35:35" x14ac:dyDescent="0.45">
      <c r="AI162"/>
    </row>
    <row r="163" spans="35:35" x14ac:dyDescent="0.45">
      <c r="AI163"/>
    </row>
    <row r="164" spans="35:35" x14ac:dyDescent="0.45">
      <c r="AI164"/>
    </row>
    <row r="165" spans="35:35" x14ac:dyDescent="0.45">
      <c r="AI165"/>
    </row>
    <row r="166" spans="35:35" x14ac:dyDescent="0.45">
      <c r="AI166"/>
    </row>
    <row r="167" spans="35:35" x14ac:dyDescent="0.45">
      <c r="AI167"/>
    </row>
    <row r="168" spans="35:35" x14ac:dyDescent="0.45">
      <c r="AI168"/>
    </row>
    <row r="169" spans="35:35" x14ac:dyDescent="0.45">
      <c r="AI169"/>
    </row>
    <row r="170" spans="35:35" x14ac:dyDescent="0.45">
      <c r="AI170"/>
    </row>
    <row r="171" spans="35:35" x14ac:dyDescent="0.45">
      <c r="AI171"/>
    </row>
    <row r="172" spans="35:35" x14ac:dyDescent="0.45">
      <c r="AI172"/>
    </row>
    <row r="173" spans="35:35" x14ac:dyDescent="0.45">
      <c r="AI173"/>
    </row>
    <row r="174" spans="35:35" x14ac:dyDescent="0.45">
      <c r="AI174"/>
    </row>
    <row r="175" spans="35:35" x14ac:dyDescent="0.45">
      <c r="AI175"/>
    </row>
    <row r="176" spans="35:35" x14ac:dyDescent="0.45">
      <c r="AI176"/>
    </row>
    <row r="177" spans="35:35" x14ac:dyDescent="0.45">
      <c r="AI177"/>
    </row>
    <row r="178" spans="35:35" x14ac:dyDescent="0.45">
      <c r="AI178"/>
    </row>
    <row r="179" spans="35:35" x14ac:dyDescent="0.45">
      <c r="AI179"/>
    </row>
    <row r="180" spans="35:35" x14ac:dyDescent="0.45">
      <c r="AI180"/>
    </row>
    <row r="181" spans="35:35" x14ac:dyDescent="0.45">
      <c r="AI181"/>
    </row>
    <row r="182" spans="35:35" x14ac:dyDescent="0.45">
      <c r="AI182"/>
    </row>
    <row r="183" spans="35:35" x14ac:dyDescent="0.45">
      <c r="AI183"/>
    </row>
    <row r="184" spans="35:35" x14ac:dyDescent="0.45">
      <c r="AI184"/>
    </row>
    <row r="185" spans="35:35" x14ac:dyDescent="0.45">
      <c r="AI185"/>
    </row>
    <row r="186" spans="35:35" x14ac:dyDescent="0.45">
      <c r="AI186"/>
    </row>
    <row r="187" spans="35:35" x14ac:dyDescent="0.45">
      <c r="AI187"/>
    </row>
    <row r="188" spans="35:35" x14ac:dyDescent="0.45">
      <c r="AI188"/>
    </row>
    <row r="189" spans="35:35" x14ac:dyDescent="0.45">
      <c r="AI189"/>
    </row>
    <row r="190" spans="35:35" x14ac:dyDescent="0.45">
      <c r="AI190"/>
    </row>
    <row r="191" spans="35:35" x14ac:dyDescent="0.45">
      <c r="AI191"/>
    </row>
    <row r="192" spans="35:35" x14ac:dyDescent="0.45">
      <c r="AI192"/>
    </row>
    <row r="193" spans="35:35" x14ac:dyDescent="0.45">
      <c r="AI193"/>
    </row>
    <row r="194" spans="35:35" x14ac:dyDescent="0.45">
      <c r="AI194"/>
    </row>
    <row r="195" spans="35:35" x14ac:dyDescent="0.45">
      <c r="AI195"/>
    </row>
    <row r="196" spans="35:35" x14ac:dyDescent="0.45">
      <c r="AI196"/>
    </row>
    <row r="197" spans="35:35" x14ac:dyDescent="0.45">
      <c r="AI197"/>
    </row>
    <row r="198" spans="35:35" x14ac:dyDescent="0.45">
      <c r="AI198"/>
    </row>
    <row r="199" spans="35:35" x14ac:dyDescent="0.45">
      <c r="AI199"/>
    </row>
    <row r="200" spans="35:35" x14ac:dyDescent="0.45">
      <c r="AI200"/>
    </row>
    <row r="201" spans="35:35" x14ac:dyDescent="0.45">
      <c r="AI201"/>
    </row>
    <row r="202" spans="35:35" x14ac:dyDescent="0.45">
      <c r="AI202"/>
    </row>
    <row r="203" spans="35:35" x14ac:dyDescent="0.45">
      <c r="AI203"/>
    </row>
    <row r="204" spans="35:35" x14ac:dyDescent="0.45">
      <c r="AI204"/>
    </row>
    <row r="205" spans="35:35" x14ac:dyDescent="0.45">
      <c r="AI205"/>
    </row>
    <row r="206" spans="35:35" x14ac:dyDescent="0.45">
      <c r="AI206"/>
    </row>
    <row r="207" spans="35:35" x14ac:dyDescent="0.45">
      <c r="AI207"/>
    </row>
    <row r="208" spans="35:35" x14ac:dyDescent="0.45">
      <c r="AI208"/>
    </row>
    <row r="209" spans="35:35" x14ac:dyDescent="0.45">
      <c r="AI209"/>
    </row>
    <row r="210" spans="35:35" x14ac:dyDescent="0.45">
      <c r="AI210"/>
    </row>
    <row r="211" spans="35:35" x14ac:dyDescent="0.45">
      <c r="AI211"/>
    </row>
    <row r="212" spans="35:35" x14ac:dyDescent="0.45">
      <c r="AI212"/>
    </row>
    <row r="213" spans="35:35" x14ac:dyDescent="0.45">
      <c r="AI213"/>
    </row>
    <row r="214" spans="35:35" x14ac:dyDescent="0.45">
      <c r="AI214"/>
    </row>
    <row r="215" spans="35:35" x14ac:dyDescent="0.45">
      <c r="AI215"/>
    </row>
    <row r="216" spans="35:35" x14ac:dyDescent="0.45">
      <c r="AI216"/>
    </row>
    <row r="217" spans="35:35" x14ac:dyDescent="0.45">
      <c r="AI217"/>
    </row>
    <row r="218" spans="35:35" x14ac:dyDescent="0.45">
      <c r="AI218"/>
    </row>
    <row r="219" spans="35:35" x14ac:dyDescent="0.45">
      <c r="AI219"/>
    </row>
    <row r="220" spans="35:35" x14ac:dyDescent="0.45">
      <c r="AI220"/>
    </row>
    <row r="221" spans="35:35" x14ac:dyDescent="0.45">
      <c r="AI221"/>
    </row>
    <row r="222" spans="35:35" x14ac:dyDescent="0.45">
      <c r="AI222"/>
    </row>
    <row r="223" spans="35:35" x14ac:dyDescent="0.45">
      <c r="AI223"/>
    </row>
    <row r="224" spans="35:35" x14ac:dyDescent="0.45">
      <c r="AI224"/>
    </row>
    <row r="225" spans="35:35" x14ac:dyDescent="0.45">
      <c r="AI225"/>
    </row>
    <row r="226" spans="35:35" x14ac:dyDescent="0.45">
      <c r="AI226"/>
    </row>
    <row r="227" spans="35:35" x14ac:dyDescent="0.45">
      <c r="AI227"/>
    </row>
    <row r="228" spans="35:35" x14ac:dyDescent="0.45">
      <c r="AI228"/>
    </row>
    <row r="229" spans="35:35" x14ac:dyDescent="0.45">
      <c r="AI229"/>
    </row>
    <row r="230" spans="35:35" x14ac:dyDescent="0.45">
      <c r="AI230"/>
    </row>
    <row r="231" spans="35:35" x14ac:dyDescent="0.45">
      <c r="AI231"/>
    </row>
    <row r="232" spans="35:35" x14ac:dyDescent="0.45">
      <c r="AI232"/>
    </row>
    <row r="233" spans="35:35" x14ac:dyDescent="0.45">
      <c r="AI233"/>
    </row>
    <row r="234" spans="35:35" x14ac:dyDescent="0.45">
      <c r="AI234"/>
    </row>
    <row r="235" spans="35:35" x14ac:dyDescent="0.45">
      <c r="AI235"/>
    </row>
    <row r="236" spans="35:35" x14ac:dyDescent="0.45">
      <c r="AI236"/>
    </row>
    <row r="237" spans="35:35" x14ac:dyDescent="0.45">
      <c r="AI237"/>
    </row>
    <row r="238" spans="35:35" x14ac:dyDescent="0.45">
      <c r="AI238"/>
    </row>
    <row r="239" spans="35:35" x14ac:dyDescent="0.45">
      <c r="AI239"/>
    </row>
    <row r="240" spans="35:35" x14ac:dyDescent="0.45">
      <c r="AI240"/>
    </row>
    <row r="241" spans="35:35" x14ac:dyDescent="0.45">
      <c r="AI241"/>
    </row>
    <row r="242" spans="35:35" x14ac:dyDescent="0.45">
      <c r="AI242"/>
    </row>
    <row r="243" spans="35:35" x14ac:dyDescent="0.45">
      <c r="AI243"/>
    </row>
    <row r="244" spans="35:35" x14ac:dyDescent="0.45">
      <c r="AI244"/>
    </row>
    <row r="245" spans="35:35" x14ac:dyDescent="0.45">
      <c r="AI245"/>
    </row>
    <row r="246" spans="35:35" x14ac:dyDescent="0.45">
      <c r="AI246"/>
    </row>
    <row r="247" spans="35:35" x14ac:dyDescent="0.45">
      <c r="AI247"/>
    </row>
    <row r="248" spans="35:35" x14ac:dyDescent="0.45">
      <c r="AI248"/>
    </row>
    <row r="249" spans="35:35" x14ac:dyDescent="0.45">
      <c r="AI249"/>
    </row>
    <row r="250" spans="35:35" x14ac:dyDescent="0.45">
      <c r="AI250"/>
    </row>
    <row r="251" spans="35:35" x14ac:dyDescent="0.45">
      <c r="AI251"/>
    </row>
    <row r="252" spans="35:35" x14ac:dyDescent="0.45">
      <c r="AI252"/>
    </row>
    <row r="253" spans="35:35" x14ac:dyDescent="0.45">
      <c r="AI253"/>
    </row>
    <row r="254" spans="35:35" x14ac:dyDescent="0.45">
      <c r="AI254"/>
    </row>
    <row r="255" spans="35:35" x14ac:dyDescent="0.45">
      <c r="AI255"/>
    </row>
    <row r="256" spans="35:35" x14ac:dyDescent="0.45">
      <c r="AI256"/>
    </row>
    <row r="257" spans="35:35" x14ac:dyDescent="0.45">
      <c r="AI257"/>
    </row>
    <row r="258" spans="35:35" x14ac:dyDescent="0.45">
      <c r="AI258"/>
    </row>
    <row r="259" spans="35:35" x14ac:dyDescent="0.45">
      <c r="AI259"/>
    </row>
    <row r="260" spans="35:35" x14ac:dyDescent="0.45">
      <c r="AI260"/>
    </row>
    <row r="261" spans="35:35" x14ac:dyDescent="0.45">
      <c r="AI261"/>
    </row>
    <row r="262" spans="35:35" x14ac:dyDescent="0.45">
      <c r="AI262"/>
    </row>
    <row r="263" spans="35:35" x14ac:dyDescent="0.45">
      <c r="AI263"/>
    </row>
    <row r="264" spans="35:35" x14ac:dyDescent="0.45">
      <c r="AI264"/>
    </row>
    <row r="265" spans="35:35" x14ac:dyDescent="0.45">
      <c r="AI265"/>
    </row>
    <row r="266" spans="35:35" x14ac:dyDescent="0.45">
      <c r="AI266"/>
    </row>
    <row r="267" spans="35:35" x14ac:dyDescent="0.45">
      <c r="AI267"/>
    </row>
    <row r="268" spans="35:35" x14ac:dyDescent="0.45">
      <c r="AI268"/>
    </row>
    <row r="269" spans="35:35" x14ac:dyDescent="0.45">
      <c r="AI269"/>
    </row>
    <row r="270" spans="35:35" x14ac:dyDescent="0.45">
      <c r="AI270"/>
    </row>
    <row r="271" spans="35:35" x14ac:dyDescent="0.45">
      <c r="AI271"/>
    </row>
    <row r="272" spans="35:35" x14ac:dyDescent="0.45">
      <c r="AI272"/>
    </row>
    <row r="273" spans="35:35" x14ac:dyDescent="0.45">
      <c r="AI273"/>
    </row>
    <row r="274" spans="35:35" x14ac:dyDescent="0.45">
      <c r="AI274"/>
    </row>
    <row r="275" spans="35:35" x14ac:dyDescent="0.45">
      <c r="AI275"/>
    </row>
    <row r="276" spans="35:35" x14ac:dyDescent="0.45">
      <c r="AI276"/>
    </row>
    <row r="277" spans="35:35" x14ac:dyDescent="0.45">
      <c r="AI277"/>
    </row>
    <row r="278" spans="35:35" x14ac:dyDescent="0.45">
      <c r="AI278"/>
    </row>
    <row r="279" spans="35:35" x14ac:dyDescent="0.45">
      <c r="AI279"/>
    </row>
    <row r="280" spans="35:35" x14ac:dyDescent="0.45">
      <c r="AI280"/>
    </row>
    <row r="281" spans="35:35" x14ac:dyDescent="0.45">
      <c r="AI281"/>
    </row>
    <row r="282" spans="35:35" x14ac:dyDescent="0.45">
      <c r="AI282"/>
    </row>
    <row r="283" spans="35:35" x14ac:dyDescent="0.45">
      <c r="AI283"/>
    </row>
    <row r="284" spans="35:35" x14ac:dyDescent="0.45">
      <c r="AI284"/>
    </row>
    <row r="285" spans="35:35" x14ac:dyDescent="0.45">
      <c r="AI285"/>
    </row>
    <row r="286" spans="35:35" x14ac:dyDescent="0.45">
      <c r="AI286"/>
    </row>
    <row r="287" spans="35:35" x14ac:dyDescent="0.45">
      <c r="AI287"/>
    </row>
    <row r="288" spans="35:35" x14ac:dyDescent="0.45">
      <c r="AI288"/>
    </row>
    <row r="289" spans="35:35" x14ac:dyDescent="0.45">
      <c r="AI289"/>
    </row>
    <row r="290" spans="35:35" x14ac:dyDescent="0.45">
      <c r="AI290"/>
    </row>
    <row r="291" spans="35:35" x14ac:dyDescent="0.45">
      <c r="AI291"/>
    </row>
    <row r="292" spans="35:35" x14ac:dyDescent="0.45">
      <c r="AI292"/>
    </row>
    <row r="293" spans="35:35" x14ac:dyDescent="0.45">
      <c r="AI293"/>
    </row>
    <row r="294" spans="35:35" x14ac:dyDescent="0.45">
      <c r="AI294"/>
    </row>
    <row r="295" spans="35:35" x14ac:dyDescent="0.45">
      <c r="AI295"/>
    </row>
    <row r="296" spans="35:35" x14ac:dyDescent="0.45">
      <c r="AI296"/>
    </row>
    <row r="297" spans="35:35" x14ac:dyDescent="0.45">
      <c r="AI297"/>
    </row>
    <row r="298" spans="35:35" x14ac:dyDescent="0.45">
      <c r="AI298"/>
    </row>
    <row r="299" spans="35:35" x14ac:dyDescent="0.45">
      <c r="AI299"/>
    </row>
    <row r="300" spans="35:35" x14ac:dyDescent="0.45">
      <c r="AI300"/>
    </row>
    <row r="301" spans="35:35" x14ac:dyDescent="0.45">
      <c r="AI301"/>
    </row>
    <row r="302" spans="35:35" x14ac:dyDescent="0.45">
      <c r="AI302"/>
    </row>
    <row r="303" spans="35:35" x14ac:dyDescent="0.45">
      <c r="AI303"/>
    </row>
    <row r="304" spans="35:35" x14ac:dyDescent="0.45">
      <c r="AI304"/>
    </row>
    <row r="305" spans="35:35" x14ac:dyDescent="0.45">
      <c r="AI305"/>
    </row>
    <row r="306" spans="35:35" x14ac:dyDescent="0.45">
      <c r="AI306"/>
    </row>
    <row r="307" spans="35:35" x14ac:dyDescent="0.45">
      <c r="AI307"/>
    </row>
    <row r="308" spans="35:35" x14ac:dyDescent="0.45">
      <c r="AI308"/>
    </row>
    <row r="309" spans="35:35" x14ac:dyDescent="0.45">
      <c r="AI309"/>
    </row>
    <row r="310" spans="35:35" x14ac:dyDescent="0.45">
      <c r="AI310"/>
    </row>
    <row r="311" spans="35:35" x14ac:dyDescent="0.45">
      <c r="AI311"/>
    </row>
    <row r="312" spans="35:35" x14ac:dyDescent="0.45">
      <c r="AI312"/>
    </row>
    <row r="313" spans="35:35" x14ac:dyDescent="0.45">
      <c r="AI313"/>
    </row>
    <row r="314" spans="35:35" x14ac:dyDescent="0.45">
      <c r="AI314"/>
    </row>
    <row r="315" spans="35:35" x14ac:dyDescent="0.45">
      <c r="AI315"/>
    </row>
    <row r="316" spans="35:35" x14ac:dyDescent="0.45">
      <c r="AI316"/>
    </row>
    <row r="317" spans="35:35" x14ac:dyDescent="0.45">
      <c r="AI31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61"/>
  <sheetViews>
    <sheetView tabSelected="1" workbookViewId="0">
      <selection activeCell="M17" sqref="M17"/>
    </sheetView>
  </sheetViews>
  <sheetFormatPr defaultRowHeight="14.25" x14ac:dyDescent="0.45"/>
  <cols>
    <col min="1" max="1" width="9.06640625" customWidth="1"/>
    <col min="2" max="2" width="29.53125" hidden="1" customWidth="1"/>
    <col min="3" max="3" width="25.1328125" hidden="1" customWidth="1"/>
    <col min="4" max="4" width="20.6640625" hidden="1" customWidth="1"/>
    <col min="5" max="5" width="20.1328125" hidden="1" customWidth="1"/>
    <col min="6" max="6" width="13.19921875" hidden="1" customWidth="1"/>
    <col min="7" max="7" width="8.06640625" hidden="1" customWidth="1"/>
    <col min="8" max="8" width="4.6640625" hidden="1" customWidth="1"/>
    <col min="9" max="9" width="43.59765625" hidden="1" customWidth="1"/>
    <col min="10" max="10" width="12.06640625" customWidth="1"/>
  </cols>
  <sheetData>
    <row r="1" spans="2:10" x14ac:dyDescent="0.45">
      <c r="B1" t="s">
        <v>1</v>
      </c>
      <c r="C1" t="s">
        <v>141</v>
      </c>
      <c r="D1" t="s">
        <v>142</v>
      </c>
      <c r="E1" t="s">
        <v>143</v>
      </c>
      <c r="F1" t="s">
        <v>144</v>
      </c>
      <c r="I1" t="str">
        <f>IF(C2=0,"' '","")&amp;F2</f>
        <v>' ','Burnie Branch'</v>
      </c>
    </row>
    <row r="2" spans="2:10" x14ac:dyDescent="0.45">
      <c r="B2" t="s">
        <v>65</v>
      </c>
      <c r="C2">
        <f>IFERROR(MATCH(Table2[[#This Row],[BranchName]],J:J,0),0)</f>
        <v>0</v>
      </c>
      <c r="D2" t="str">
        <f>IF(Table2[[#This Row],[Column1]]&lt;&gt;0,"'"&amp;Table2[[#This Row],[BranchName]]&amp;"'","")</f>
        <v/>
      </c>
      <c r="E2" t="str">
        <f t="shared" ref="E2:E34" si="0">IF(C3=0,"",",")</f>
        <v/>
      </c>
      <c r="F2" s="4" t="str">
        <f>+Table2[[#This Row],[Column2]]&amp;Table2[[#This Row],[Column3]]&amp;F3</f>
        <v>,'Burnie Branch'</v>
      </c>
    </row>
    <row r="3" spans="2:10" x14ac:dyDescent="0.45">
      <c r="B3" t="s">
        <v>76</v>
      </c>
      <c r="C3">
        <f>IFERROR(MATCH(Table2[[#This Row],[BranchName]],J:J,0),0)</f>
        <v>0</v>
      </c>
      <c r="D3" t="str">
        <f>IF(Table2[[#This Row],[Column1]]&lt;&gt;0,"'"&amp;Table2[[#This Row],[BranchName]]&amp;"'","")</f>
        <v/>
      </c>
      <c r="E3" t="str">
        <f t="shared" si="0"/>
        <v/>
      </c>
      <c r="F3" s="4" t="str">
        <f>+Table2[[#This Row],[Column2]]&amp;Table2[[#This Row],[Column3]]&amp;F4</f>
        <v>,'Burnie Branch'</v>
      </c>
      <c r="J3" s="2" t="s">
        <v>139</v>
      </c>
    </row>
    <row r="4" spans="2:10" x14ac:dyDescent="0.45">
      <c r="B4" t="s">
        <v>56</v>
      </c>
      <c r="C4">
        <f>IFERROR(MATCH(Table2[[#This Row],[BranchName]],J:J,0),0)</f>
        <v>0</v>
      </c>
      <c r="D4" t="str">
        <f>IF(Table2[[#This Row],[Column1]]&lt;&gt;0,"'"&amp;Table2[[#This Row],[BranchName]]&amp;"'","")</f>
        <v/>
      </c>
      <c r="E4" t="str">
        <f t="shared" si="0"/>
        <v/>
      </c>
      <c r="F4" s="4" t="str">
        <f>+Table2[[#This Row],[Column2]]&amp;Table2[[#This Row],[Column3]]&amp;F5</f>
        <v>,'Burnie Branch'</v>
      </c>
      <c r="J4" s="3" t="s">
        <v>186</v>
      </c>
    </row>
    <row r="5" spans="2:10" x14ac:dyDescent="0.45">
      <c r="B5" t="s">
        <v>42</v>
      </c>
      <c r="C5">
        <f>IFERROR(MATCH(Table2[[#This Row],[BranchName]],J:J,0),0)</f>
        <v>0</v>
      </c>
      <c r="D5" t="str">
        <f>IF(Table2[[#This Row],[Column1]]&lt;&gt;0,"'"&amp;Table2[[#This Row],[BranchName]]&amp;"'","")</f>
        <v/>
      </c>
      <c r="E5" t="str">
        <f t="shared" si="0"/>
        <v/>
      </c>
      <c r="F5" s="4" t="str">
        <f>+Table2[[#This Row],[Column2]]&amp;Table2[[#This Row],[Column3]]&amp;F6</f>
        <v>,'Burnie Branch'</v>
      </c>
      <c r="J5" s="3" t="s">
        <v>140</v>
      </c>
    </row>
    <row r="6" spans="2:10" x14ac:dyDescent="0.45">
      <c r="B6" t="s">
        <v>59</v>
      </c>
      <c r="C6">
        <f>IFERROR(MATCH(Table2[[#This Row],[BranchName]],J:J,0),0)</f>
        <v>0</v>
      </c>
      <c r="D6" t="str">
        <f>IF(Table2[[#This Row],[Column1]]&lt;&gt;0,"'"&amp;Table2[[#This Row],[BranchName]]&amp;"'","")</f>
        <v/>
      </c>
      <c r="E6" t="str">
        <f t="shared" si="0"/>
        <v/>
      </c>
      <c r="F6" s="4" t="str">
        <f>+Table2[[#This Row],[Column2]]&amp;Table2[[#This Row],[Column3]]&amp;F7</f>
        <v>,'Burnie Branch'</v>
      </c>
    </row>
    <row r="7" spans="2:10" x14ac:dyDescent="0.45">
      <c r="B7" t="s">
        <v>85</v>
      </c>
      <c r="C7">
        <f>IFERROR(MATCH(Table2[[#This Row],[BranchName]],J:J,0),0)</f>
        <v>0</v>
      </c>
      <c r="D7" t="str">
        <f>IF(Table2[[#This Row],[Column1]]&lt;&gt;0,"'"&amp;Table2[[#This Row],[BranchName]]&amp;"'","")</f>
        <v/>
      </c>
      <c r="E7" t="str">
        <f>IF(C9=0,"",",")</f>
        <v/>
      </c>
      <c r="F7" s="4" t="str">
        <f>+Table2[[#This Row],[Column2]]&amp;Table2[[#This Row],[Column3]]&amp;F9</f>
        <v>,'Burnie Branch'</v>
      </c>
    </row>
    <row r="8" spans="2:10" x14ac:dyDescent="0.45">
      <c r="B8" t="s">
        <v>186</v>
      </c>
      <c r="C8">
        <f>IFERROR(MATCH(Table2[[#This Row],[BranchName]],J:J,0),0)</f>
        <v>4</v>
      </c>
      <c r="D8" t="str">
        <f>IF(Table2[[#This Row],[Column1]]&lt;&gt;0,"'"&amp;Table2[[#This Row],[BranchName]]&amp;"'","")</f>
        <v>'Burnie Branch'</v>
      </c>
      <c r="E8" t="str">
        <f>IF(C40=0,"",",")</f>
        <v/>
      </c>
      <c r="F8" s="4" t="str">
        <f>+Table2[[#This Row],[Column2]]&amp;Table2[[#This Row],[Column3]]&amp;F40</f>
        <v>'Burnie Branch'</v>
      </c>
    </row>
    <row r="9" spans="2:10" x14ac:dyDescent="0.45">
      <c r="B9" t="s">
        <v>40</v>
      </c>
      <c r="C9">
        <f>IFERROR(MATCH(Table2[[#This Row],[BranchName]],J:J,0),0)</f>
        <v>0</v>
      </c>
      <c r="D9" t="str">
        <f>IF(Table2[[#This Row],[Column1]]&lt;&gt;0,"'"&amp;Table2[[#This Row],[BranchName]]&amp;"'","")</f>
        <v/>
      </c>
      <c r="E9" t="str">
        <f t="shared" si="0"/>
        <v/>
      </c>
      <c r="F9" s="4" t="str">
        <f>+Table2[[#This Row],[Column2]]&amp;Table2[[#This Row],[Column3]]&amp;F10</f>
        <v>,'Burnie Branch'</v>
      </c>
    </row>
    <row r="10" spans="2:10" x14ac:dyDescent="0.45">
      <c r="B10" t="s">
        <v>83</v>
      </c>
      <c r="C10">
        <f>IFERROR(MATCH(Table2[[#This Row],[BranchName]],J:J,0),0)</f>
        <v>0</v>
      </c>
      <c r="D10" t="str">
        <f>IF(Table2[[#This Row],[Column1]]&lt;&gt;0,"'"&amp;Table2[[#This Row],[BranchName]]&amp;"'","")</f>
        <v/>
      </c>
      <c r="E10" t="str">
        <f t="shared" si="0"/>
        <v/>
      </c>
      <c r="F10" s="4" t="str">
        <f>+Table2[[#This Row],[Column2]]&amp;Table2[[#This Row],[Column3]]&amp;F11</f>
        <v>,'Burnie Branch'</v>
      </c>
    </row>
    <row r="11" spans="2:10" x14ac:dyDescent="0.45">
      <c r="B11" t="s">
        <v>19</v>
      </c>
      <c r="C11">
        <f>IFERROR(MATCH(Table2[[#This Row],[BranchName]],J:J,0),0)</f>
        <v>0</v>
      </c>
      <c r="D11" t="str">
        <f>IF(Table2[[#This Row],[Column1]]&lt;&gt;0,"'"&amp;Table2[[#This Row],[BranchName]]&amp;"'","")</f>
        <v/>
      </c>
      <c r="E11" t="str">
        <f t="shared" si="0"/>
        <v/>
      </c>
      <c r="F11" s="4" t="str">
        <f>+Table2[[#This Row],[Column2]]&amp;Table2[[#This Row],[Column3]]&amp;F12</f>
        <v>,'Burnie Branch'</v>
      </c>
    </row>
    <row r="12" spans="2:10" x14ac:dyDescent="0.45">
      <c r="B12" t="s">
        <v>74</v>
      </c>
      <c r="C12">
        <f>IFERROR(MATCH(Table2[[#This Row],[BranchName]],J:J,0),0)</f>
        <v>0</v>
      </c>
      <c r="D12" t="str">
        <f>IF(Table2[[#This Row],[Column1]]&lt;&gt;0,"'"&amp;Table2[[#This Row],[BranchName]]&amp;"'","")</f>
        <v/>
      </c>
      <c r="E12" t="str">
        <f t="shared" si="0"/>
        <v/>
      </c>
      <c r="F12" s="4" t="str">
        <f>+Table2[[#This Row],[Column2]]&amp;Table2[[#This Row],[Column3]]&amp;F13</f>
        <v>,'Burnie Branch'</v>
      </c>
    </row>
    <row r="13" spans="2:10" x14ac:dyDescent="0.45">
      <c r="B13" t="s">
        <v>72</v>
      </c>
      <c r="C13">
        <f>IFERROR(MATCH(Table2[[#This Row],[BranchName]],J:J,0),0)</f>
        <v>0</v>
      </c>
      <c r="D13" t="str">
        <f>IF(Table2[[#This Row],[Column1]]&lt;&gt;0,"'"&amp;Table2[[#This Row],[BranchName]]&amp;"'","")</f>
        <v/>
      </c>
      <c r="E13" t="str">
        <f t="shared" si="0"/>
        <v/>
      </c>
      <c r="F13" s="4" t="str">
        <f>+Table2[[#This Row],[Column2]]&amp;Table2[[#This Row],[Column3]]&amp;F14</f>
        <v>,'Burnie Branch'</v>
      </c>
    </row>
    <row r="14" spans="2:10" x14ac:dyDescent="0.45">
      <c r="B14" t="s">
        <v>54</v>
      </c>
      <c r="C14">
        <f>IFERROR(MATCH(Table2[[#This Row],[BranchName]],J:J,0),0)</f>
        <v>0</v>
      </c>
      <c r="D14" t="str">
        <f>IF(Table2[[#This Row],[Column1]]&lt;&gt;0,"'"&amp;Table2[[#This Row],[BranchName]]&amp;"'","")</f>
        <v/>
      </c>
      <c r="E14" t="str">
        <f t="shared" si="0"/>
        <v/>
      </c>
      <c r="F14" s="4" t="str">
        <f>+Table2[[#This Row],[Column2]]&amp;Table2[[#This Row],[Column3]]&amp;F15</f>
        <v>,'Burnie Branch'</v>
      </c>
    </row>
    <row r="15" spans="2:10" x14ac:dyDescent="0.45">
      <c r="B15" t="s">
        <v>78</v>
      </c>
      <c r="C15">
        <f>IFERROR(MATCH(Table2[[#This Row],[BranchName]],J:J,0),0)</f>
        <v>0</v>
      </c>
      <c r="D15" t="str">
        <f>IF(Table2[[#This Row],[Column1]]&lt;&gt;0,"'"&amp;Table2[[#This Row],[BranchName]]&amp;"'","")</f>
        <v/>
      </c>
      <c r="E15" t="str">
        <f t="shared" si="0"/>
        <v/>
      </c>
      <c r="F15" s="4" t="str">
        <f>+Table2[[#This Row],[Column2]]&amp;Table2[[#This Row],[Column3]]&amp;F16</f>
        <v>,'Burnie Branch'</v>
      </c>
    </row>
    <row r="16" spans="2:10" x14ac:dyDescent="0.45">
      <c r="B16" t="s">
        <v>87</v>
      </c>
      <c r="C16">
        <f>IFERROR(MATCH(Table2[[#This Row],[BranchName]],J:J,0),0)</f>
        <v>0</v>
      </c>
      <c r="D16" t="str">
        <f>IF(Table2[[#This Row],[Column1]]&lt;&gt;0,"'"&amp;Table2[[#This Row],[BranchName]]&amp;"'","")</f>
        <v/>
      </c>
      <c r="E16" t="str">
        <f t="shared" si="0"/>
        <v/>
      </c>
      <c r="F16" s="4" t="str">
        <f>+Table2[[#This Row],[Column2]]&amp;Table2[[#This Row],[Column3]]&amp;F17</f>
        <v>,'Burnie Branch'</v>
      </c>
    </row>
    <row r="17" spans="2:6" x14ac:dyDescent="0.45">
      <c r="B17" t="s">
        <v>66</v>
      </c>
      <c r="C17">
        <f>IFERROR(MATCH(Table2[[#This Row],[BranchName]],J:J,0),0)</f>
        <v>0</v>
      </c>
      <c r="D17" t="str">
        <f>IF(Table2[[#This Row],[Column1]]&lt;&gt;0,"'"&amp;Table2[[#This Row],[BranchName]]&amp;"'","")</f>
        <v/>
      </c>
      <c r="E17" t="str">
        <f t="shared" si="0"/>
        <v/>
      </c>
      <c r="F17" s="4" t="str">
        <f>+Table2[[#This Row],[Column2]]&amp;Table2[[#This Row],[Column3]]&amp;F18</f>
        <v>,'Burnie Branch'</v>
      </c>
    </row>
    <row r="18" spans="2:6" x14ac:dyDescent="0.45">
      <c r="B18" t="s">
        <v>62</v>
      </c>
      <c r="C18">
        <f>IFERROR(MATCH(Table2[[#This Row],[BranchName]],J:J,0),0)</f>
        <v>0</v>
      </c>
      <c r="D18" t="str">
        <f>IF(Table2[[#This Row],[Column1]]&lt;&gt;0,"'"&amp;Table2[[#This Row],[BranchName]]&amp;"'","")</f>
        <v/>
      </c>
      <c r="E18" t="str">
        <f t="shared" si="0"/>
        <v/>
      </c>
      <c r="F18" s="4" t="str">
        <f>+Table2[[#This Row],[Column2]]&amp;Table2[[#This Row],[Column3]]&amp;F19</f>
        <v>,'Burnie Branch'</v>
      </c>
    </row>
    <row r="19" spans="2:6" x14ac:dyDescent="0.45">
      <c r="B19" t="s">
        <v>43</v>
      </c>
      <c r="C19">
        <f>IFERROR(MATCH(Table2[[#This Row],[BranchName]],J:J,0),0)</f>
        <v>0</v>
      </c>
      <c r="D19" t="str">
        <f>IF(Table2[[#This Row],[Column1]]&lt;&gt;0,"'"&amp;Table2[[#This Row],[BranchName]]&amp;"'","")</f>
        <v/>
      </c>
      <c r="E19" t="str">
        <f t="shared" si="0"/>
        <v/>
      </c>
      <c r="F19" s="4" t="str">
        <f>+Table2[[#This Row],[Column2]]&amp;Table2[[#This Row],[Column3]]&amp;F20</f>
        <v>,'Burnie Branch'</v>
      </c>
    </row>
    <row r="20" spans="2:6" x14ac:dyDescent="0.45">
      <c r="B20" t="s">
        <v>84</v>
      </c>
      <c r="C20">
        <f>IFERROR(MATCH(Table2[[#This Row],[BranchName]],J:J,0),0)</f>
        <v>0</v>
      </c>
      <c r="D20" t="str">
        <f>IF(Table2[[#This Row],[Column1]]&lt;&gt;0,"'"&amp;Table2[[#This Row],[BranchName]]&amp;"'","")</f>
        <v/>
      </c>
      <c r="E20" t="str">
        <f t="shared" si="0"/>
        <v/>
      </c>
      <c r="F20" s="4" t="str">
        <f>+Table2[[#This Row],[Column2]]&amp;Table2[[#This Row],[Column3]]&amp;F21</f>
        <v>,'Burnie Branch'</v>
      </c>
    </row>
    <row r="21" spans="2:6" x14ac:dyDescent="0.45">
      <c r="B21" t="s">
        <v>111</v>
      </c>
      <c r="C21">
        <f>IFERROR(MATCH(Table2[[#This Row],[BranchName]],J:J,0),0)</f>
        <v>0</v>
      </c>
      <c r="D21" t="str">
        <f>IF(Table2[[#This Row],[Column1]]&lt;&gt;0,"'"&amp;Table2[[#This Row],[BranchName]]&amp;"'","")</f>
        <v/>
      </c>
      <c r="E21" t="str">
        <f t="shared" si="0"/>
        <v/>
      </c>
      <c r="F21" s="4" t="str">
        <f>+Table2[[#This Row],[Column2]]&amp;Table2[[#This Row],[Column3]]&amp;F22</f>
        <v>,'Burnie Branch'</v>
      </c>
    </row>
    <row r="22" spans="2:6" x14ac:dyDescent="0.45">
      <c r="B22" t="s">
        <v>26</v>
      </c>
      <c r="C22">
        <f>IFERROR(MATCH(Table2[[#This Row],[BranchName]],J:J,0),0)</f>
        <v>0</v>
      </c>
      <c r="D22" t="str">
        <f>IF(Table2[[#This Row],[Column1]]&lt;&gt;0,"'"&amp;Table2[[#This Row],[BranchName]]&amp;"'","")</f>
        <v/>
      </c>
      <c r="E22" t="str">
        <f t="shared" si="0"/>
        <v/>
      </c>
      <c r="F22" s="4" t="str">
        <f>+Table2[[#This Row],[Column2]]&amp;Table2[[#This Row],[Column3]]&amp;F23</f>
        <v>,'Burnie Branch'</v>
      </c>
    </row>
    <row r="23" spans="2:6" x14ac:dyDescent="0.45">
      <c r="B23" t="s">
        <v>55</v>
      </c>
      <c r="C23">
        <f>IFERROR(MATCH(Table2[[#This Row],[BranchName]],J:J,0),0)</f>
        <v>0</v>
      </c>
      <c r="D23" t="str">
        <f>IF(Table2[[#This Row],[Column1]]&lt;&gt;0,"'"&amp;Table2[[#This Row],[BranchName]]&amp;"'","")</f>
        <v/>
      </c>
      <c r="E23" t="str">
        <f t="shared" si="0"/>
        <v/>
      </c>
      <c r="F23" s="4" t="str">
        <f>+Table2[[#This Row],[Column2]]&amp;Table2[[#This Row],[Column3]]&amp;F24</f>
        <v>,'Burnie Branch'</v>
      </c>
    </row>
    <row r="24" spans="2:6" x14ac:dyDescent="0.45">
      <c r="B24" t="s">
        <v>69</v>
      </c>
      <c r="C24">
        <f>IFERROR(MATCH(Table2[[#This Row],[BranchName]],J:J,0),0)</f>
        <v>0</v>
      </c>
      <c r="D24" t="str">
        <f>IF(Table2[[#This Row],[Column1]]&lt;&gt;0,"'"&amp;Table2[[#This Row],[BranchName]]&amp;"'","")</f>
        <v/>
      </c>
      <c r="E24" t="str">
        <f t="shared" si="0"/>
        <v/>
      </c>
      <c r="F24" s="4" t="str">
        <f>+Table2[[#This Row],[Column2]]&amp;Table2[[#This Row],[Column3]]&amp;F25</f>
        <v>,'Burnie Branch'</v>
      </c>
    </row>
    <row r="25" spans="2:6" x14ac:dyDescent="0.45">
      <c r="B25" t="s">
        <v>48</v>
      </c>
      <c r="C25">
        <f>IFERROR(MATCH(Table2[[#This Row],[BranchName]],J:J,0),0)</f>
        <v>0</v>
      </c>
      <c r="D25" t="str">
        <f>IF(Table2[[#This Row],[Column1]]&lt;&gt;0,"'"&amp;Table2[[#This Row],[BranchName]]&amp;"'","")</f>
        <v/>
      </c>
      <c r="E25" t="str">
        <f t="shared" si="0"/>
        <v/>
      </c>
      <c r="F25" s="4" t="str">
        <f>+Table2[[#This Row],[Column2]]&amp;Table2[[#This Row],[Column3]]&amp;F26</f>
        <v>,'Burnie Branch'</v>
      </c>
    </row>
    <row r="26" spans="2:6" x14ac:dyDescent="0.45">
      <c r="B26" t="s">
        <v>47</v>
      </c>
      <c r="C26">
        <f>IFERROR(MATCH(Table2[[#This Row],[BranchName]],J:J,0),0)</f>
        <v>0</v>
      </c>
      <c r="D26" t="str">
        <f>IF(Table2[[#This Row],[Column1]]&lt;&gt;0,"'"&amp;Table2[[#This Row],[BranchName]]&amp;"'","")</f>
        <v/>
      </c>
      <c r="E26" t="str">
        <f t="shared" si="0"/>
        <v/>
      </c>
      <c r="F26" s="4" t="str">
        <f>+Table2[[#This Row],[Column2]]&amp;Table2[[#This Row],[Column3]]&amp;F27</f>
        <v>,'Burnie Branch'</v>
      </c>
    </row>
    <row r="27" spans="2:6" x14ac:dyDescent="0.45">
      <c r="B27" t="s">
        <v>37</v>
      </c>
      <c r="C27">
        <f>IFERROR(MATCH(Table2[[#This Row],[BranchName]],J:J,0),0)</f>
        <v>0</v>
      </c>
      <c r="D27" t="str">
        <f>IF(Table2[[#This Row],[Column1]]&lt;&gt;0,"'"&amp;Table2[[#This Row],[BranchName]]&amp;"'","")</f>
        <v/>
      </c>
      <c r="E27" t="str">
        <f t="shared" si="0"/>
        <v/>
      </c>
      <c r="F27" s="4" t="str">
        <f>+Table2[[#This Row],[Column2]]&amp;Table2[[#This Row],[Column3]]&amp;F28</f>
        <v>,'Burnie Branch'</v>
      </c>
    </row>
    <row r="28" spans="2:6" x14ac:dyDescent="0.45">
      <c r="B28" t="s">
        <v>35</v>
      </c>
      <c r="C28">
        <f>IFERROR(MATCH(Table2[[#This Row],[BranchName]],J:J,0),0)</f>
        <v>0</v>
      </c>
      <c r="D28" t="str">
        <f>IF(Table2[[#This Row],[Column1]]&lt;&gt;0,"'"&amp;Table2[[#This Row],[BranchName]]&amp;"'","")</f>
        <v/>
      </c>
      <c r="E28" t="str">
        <f t="shared" si="0"/>
        <v/>
      </c>
      <c r="F28" s="4" t="str">
        <f>+Table2[[#This Row],[Column2]]&amp;Table2[[#This Row],[Column3]]&amp;F29</f>
        <v>,'Burnie Branch'</v>
      </c>
    </row>
    <row r="29" spans="2:6" x14ac:dyDescent="0.45">
      <c r="B29" t="s">
        <v>31</v>
      </c>
      <c r="C29">
        <f>IFERROR(MATCH(Table2[[#This Row],[BranchName]],J:J,0),0)</f>
        <v>0</v>
      </c>
      <c r="D29" t="str">
        <f>IF(Table2[[#This Row],[Column1]]&lt;&gt;0,"'"&amp;Table2[[#This Row],[BranchName]]&amp;"'","")</f>
        <v/>
      </c>
      <c r="E29" t="str">
        <f t="shared" si="0"/>
        <v/>
      </c>
      <c r="F29" s="4" t="str">
        <f>+Table2[[#This Row],[Column2]]&amp;Table2[[#This Row],[Column3]]&amp;F30</f>
        <v>,'Burnie Branch'</v>
      </c>
    </row>
    <row r="30" spans="2:6" x14ac:dyDescent="0.45">
      <c r="B30" t="s">
        <v>45</v>
      </c>
      <c r="C30">
        <f>IFERROR(MATCH(Table2[[#This Row],[BranchName]],J:J,0),0)</f>
        <v>0</v>
      </c>
      <c r="D30" t="str">
        <f>IF(Table2[[#This Row],[Column1]]&lt;&gt;0,"'"&amp;Table2[[#This Row],[BranchName]]&amp;"'","")</f>
        <v/>
      </c>
      <c r="E30" t="str">
        <f t="shared" si="0"/>
        <v/>
      </c>
      <c r="F30" s="4" t="str">
        <f>+Table2[[#This Row],[Column2]]&amp;Table2[[#This Row],[Column3]]&amp;F31</f>
        <v>,'Burnie Branch'</v>
      </c>
    </row>
    <row r="31" spans="2:6" x14ac:dyDescent="0.45">
      <c r="B31" t="s">
        <v>58</v>
      </c>
      <c r="C31">
        <f>IFERROR(MATCH(Table2[[#This Row],[BranchName]],J:J,0),0)</f>
        <v>0</v>
      </c>
      <c r="D31" t="str">
        <f>IF(Table2[[#This Row],[Column1]]&lt;&gt;0,"'"&amp;Table2[[#This Row],[BranchName]]&amp;"'","")</f>
        <v/>
      </c>
      <c r="E31" t="str">
        <f t="shared" si="0"/>
        <v/>
      </c>
      <c r="F31" s="4" t="str">
        <f>+Table2[[#This Row],[Column2]]&amp;Table2[[#This Row],[Column3]]&amp;F32</f>
        <v>,'Burnie Branch'</v>
      </c>
    </row>
    <row r="32" spans="2:6" x14ac:dyDescent="0.45">
      <c r="B32" t="s">
        <v>41</v>
      </c>
      <c r="C32">
        <f>IFERROR(MATCH(Table2[[#This Row],[BranchName]],J:J,0),0)</f>
        <v>0</v>
      </c>
      <c r="D32" t="str">
        <f>IF(Table2[[#This Row],[Column1]]&lt;&gt;0,"'"&amp;Table2[[#This Row],[BranchName]]&amp;"'","")</f>
        <v/>
      </c>
      <c r="E32" t="str">
        <f t="shared" si="0"/>
        <v/>
      </c>
      <c r="F32" s="4" t="str">
        <f>+Table2[[#This Row],[Column2]]&amp;Table2[[#This Row],[Column3]]&amp;F33</f>
        <v>,'Burnie Branch'</v>
      </c>
    </row>
    <row r="33" spans="2:6" x14ac:dyDescent="0.45">
      <c r="B33" t="s">
        <v>127</v>
      </c>
      <c r="C33">
        <f>IFERROR(MATCH(Table2[[#This Row],[BranchName]],J:J,0),0)</f>
        <v>0</v>
      </c>
      <c r="D33" t="str">
        <f>IF(Table2[[#This Row],[Column1]]&lt;&gt;0,"'"&amp;Table2[[#This Row],[BranchName]]&amp;"'","")</f>
        <v/>
      </c>
      <c r="E33" t="str">
        <f t="shared" si="0"/>
        <v/>
      </c>
      <c r="F33" s="4" t="str">
        <f>+Table2[[#This Row],[Column2]]&amp;Table2[[#This Row],[Column3]]&amp;F34</f>
        <v>,'Burnie Branch'</v>
      </c>
    </row>
    <row r="34" spans="2:6" x14ac:dyDescent="0.45">
      <c r="B34" t="s">
        <v>79</v>
      </c>
      <c r="C34">
        <f>IFERROR(MATCH(Table2[[#This Row],[BranchName]],J:J,0),0)</f>
        <v>0</v>
      </c>
      <c r="D34" t="str">
        <f>IF(Table2[[#This Row],[Column1]]&lt;&gt;0,"'"&amp;Table2[[#This Row],[BranchName]]&amp;"'","")</f>
        <v/>
      </c>
      <c r="E34" t="str">
        <f t="shared" si="0"/>
        <v/>
      </c>
      <c r="F34" s="4" t="str">
        <f>+Table2[[#This Row],[Column2]]&amp;Table2[[#This Row],[Column3]]&amp;F35</f>
        <v>,'Burnie Branch'</v>
      </c>
    </row>
    <row r="35" spans="2:6" x14ac:dyDescent="0.45">
      <c r="B35" t="s">
        <v>71</v>
      </c>
      <c r="C35">
        <f>IFERROR(MATCH(Table2[[#This Row],[BranchName]],J:J,0),0)</f>
        <v>0</v>
      </c>
      <c r="D35" t="str">
        <f>IF(Table2[[#This Row],[Column1]]&lt;&gt;0,"'"&amp;Table2[[#This Row],[BranchName]]&amp;"'","")</f>
        <v/>
      </c>
      <c r="E35" t="str">
        <f t="shared" ref="E35:E61" si="1">IF(C36=0,"",",")</f>
        <v/>
      </c>
      <c r="F35" s="4" t="str">
        <f>+Table2[[#This Row],[Column2]]&amp;Table2[[#This Row],[Column3]]&amp;F36</f>
        <v>,'Burnie Branch'</v>
      </c>
    </row>
    <row r="36" spans="2:6" x14ac:dyDescent="0.45">
      <c r="B36" t="s">
        <v>29</v>
      </c>
      <c r="C36">
        <f>IFERROR(MATCH(Table2[[#This Row],[BranchName]],J:J,0),0)</f>
        <v>0</v>
      </c>
      <c r="D36" t="str">
        <f>IF(Table2[[#This Row],[Column1]]&lt;&gt;0,"'"&amp;Table2[[#This Row],[BranchName]]&amp;"'","")</f>
        <v/>
      </c>
      <c r="E36" t="str">
        <f t="shared" si="1"/>
        <v/>
      </c>
      <c r="F36" s="4" t="str">
        <f>+Table2[[#This Row],[Column2]]&amp;Table2[[#This Row],[Column3]]&amp;F37</f>
        <v>,'Burnie Branch'</v>
      </c>
    </row>
    <row r="37" spans="2:6" x14ac:dyDescent="0.45">
      <c r="B37" t="s">
        <v>90</v>
      </c>
      <c r="C37">
        <f>IFERROR(MATCH(Table2[[#This Row],[BranchName]],J:J,0),0)</f>
        <v>0</v>
      </c>
      <c r="D37" t="str">
        <f>IF(Table2[[#This Row],[Column1]]&lt;&gt;0,"'"&amp;Table2[[#This Row],[BranchName]]&amp;"'","")</f>
        <v/>
      </c>
      <c r="E37" t="str">
        <f t="shared" si="1"/>
        <v/>
      </c>
      <c r="F37" s="4" t="str">
        <f>+Table2[[#This Row],[Column2]]&amp;Table2[[#This Row],[Column3]]&amp;F38</f>
        <v>,'Burnie Branch'</v>
      </c>
    </row>
    <row r="38" spans="2:6" x14ac:dyDescent="0.45">
      <c r="B38" t="s">
        <v>51</v>
      </c>
      <c r="C38">
        <f>IFERROR(MATCH(Table2[[#This Row],[BranchName]],J:J,0),0)</f>
        <v>0</v>
      </c>
      <c r="D38" t="str">
        <f>IF(Table2[[#This Row],[Column1]]&lt;&gt;0,"'"&amp;Table2[[#This Row],[BranchName]]&amp;"'","")</f>
        <v/>
      </c>
      <c r="E38" t="str">
        <f t="shared" si="1"/>
        <v/>
      </c>
      <c r="F38" s="4" t="str">
        <f>+Table2[[#This Row],[Column2]]&amp;Table2[[#This Row],[Column3]]&amp;F39</f>
        <v>,'Burnie Branch'</v>
      </c>
    </row>
    <row r="39" spans="2:6" x14ac:dyDescent="0.45">
      <c r="B39" t="s">
        <v>67</v>
      </c>
      <c r="C39">
        <f>IFERROR(MATCH(Table2[[#This Row],[BranchName]],J:J,0),0)</f>
        <v>0</v>
      </c>
      <c r="D39" t="str">
        <f>IF(Table2[[#This Row],[Column1]]&lt;&gt;0,"'"&amp;Table2[[#This Row],[BranchName]]&amp;"'","")</f>
        <v/>
      </c>
      <c r="E39" t="str">
        <f>IF(C8=0,"",",")</f>
        <v>,</v>
      </c>
      <c r="F39" s="4" t="str">
        <f>+Table2[[#This Row],[Column2]]&amp;Table2[[#This Row],[Column3]]&amp;F8</f>
        <v>,'Burnie Branch'</v>
      </c>
    </row>
    <row r="40" spans="2:6" x14ac:dyDescent="0.45">
      <c r="B40" t="s">
        <v>50</v>
      </c>
      <c r="C40">
        <f>IFERROR(MATCH(Table2[[#This Row],[BranchName]],J:J,0),0)</f>
        <v>0</v>
      </c>
      <c r="D40" t="str">
        <f>IF(Table2[[#This Row],[Column1]]&lt;&gt;0,"'"&amp;Table2[[#This Row],[BranchName]]&amp;"'","")</f>
        <v/>
      </c>
      <c r="E40" t="str">
        <f t="shared" si="1"/>
        <v/>
      </c>
      <c r="F40" s="4" t="str">
        <f>+Table2[[#This Row],[Column2]]&amp;Table2[[#This Row],[Column3]]&amp;F41</f>
        <v/>
      </c>
    </row>
    <row r="41" spans="2:6" x14ac:dyDescent="0.45">
      <c r="B41" t="s">
        <v>53</v>
      </c>
      <c r="C41">
        <f>IFERROR(MATCH(Table2[[#This Row],[BranchName]],J:J,0),0)</f>
        <v>0</v>
      </c>
      <c r="D41" t="str">
        <f>IF(Table2[[#This Row],[Column1]]&lt;&gt;0,"'"&amp;Table2[[#This Row],[BranchName]]&amp;"'","")</f>
        <v/>
      </c>
      <c r="E41" t="str">
        <f t="shared" si="1"/>
        <v/>
      </c>
      <c r="F41" s="4" t="str">
        <f>+Table2[[#This Row],[Column2]]&amp;Table2[[#This Row],[Column3]]&amp;F42</f>
        <v/>
      </c>
    </row>
    <row r="42" spans="2:6" x14ac:dyDescent="0.45">
      <c r="B42" t="s">
        <v>60</v>
      </c>
      <c r="C42">
        <f>IFERROR(MATCH(Table2[[#This Row],[BranchName]],J:J,0),0)</f>
        <v>0</v>
      </c>
      <c r="D42" t="str">
        <f>IF(Table2[[#This Row],[Column1]]&lt;&gt;0,"'"&amp;Table2[[#This Row],[BranchName]]&amp;"'","")</f>
        <v/>
      </c>
      <c r="E42" t="str">
        <f t="shared" si="1"/>
        <v/>
      </c>
      <c r="F42" s="4" t="str">
        <f>+Table2[[#This Row],[Column2]]&amp;Table2[[#This Row],[Column3]]&amp;F43</f>
        <v/>
      </c>
    </row>
    <row r="43" spans="2:6" x14ac:dyDescent="0.45">
      <c r="B43" t="s">
        <v>44</v>
      </c>
      <c r="C43">
        <f>IFERROR(MATCH(Table2[[#This Row],[BranchName]],J:J,0),0)</f>
        <v>0</v>
      </c>
      <c r="D43" t="str">
        <f>IF(Table2[[#This Row],[Column1]]&lt;&gt;0,"'"&amp;Table2[[#This Row],[BranchName]]&amp;"'","")</f>
        <v/>
      </c>
      <c r="E43" t="str">
        <f t="shared" si="1"/>
        <v/>
      </c>
      <c r="F43" s="4" t="str">
        <f>+Table2[[#This Row],[Column2]]&amp;Table2[[#This Row],[Column3]]&amp;F44</f>
        <v/>
      </c>
    </row>
    <row r="44" spans="2:6" x14ac:dyDescent="0.45">
      <c r="B44" t="s">
        <v>32</v>
      </c>
      <c r="C44">
        <f>IFERROR(MATCH(Table2[[#This Row],[BranchName]],J:J,0),0)</f>
        <v>0</v>
      </c>
      <c r="D44" t="str">
        <f>IF(Table2[[#This Row],[Column1]]&lt;&gt;0,"'"&amp;Table2[[#This Row],[BranchName]]&amp;"'","")</f>
        <v/>
      </c>
      <c r="E44" t="str">
        <f t="shared" si="1"/>
        <v/>
      </c>
      <c r="F44" s="4" t="str">
        <f>+Table2[[#This Row],[Column2]]&amp;Table2[[#This Row],[Column3]]&amp;F45</f>
        <v/>
      </c>
    </row>
    <row r="45" spans="2:6" x14ac:dyDescent="0.45">
      <c r="B45" t="s">
        <v>88</v>
      </c>
      <c r="C45">
        <f>IFERROR(MATCH(Table2[[#This Row],[BranchName]],J:J,0),0)</f>
        <v>0</v>
      </c>
      <c r="D45" t="str">
        <f>IF(Table2[[#This Row],[Column1]]&lt;&gt;0,"'"&amp;Table2[[#This Row],[BranchName]]&amp;"'","")</f>
        <v/>
      </c>
      <c r="E45" t="str">
        <f t="shared" si="1"/>
        <v/>
      </c>
      <c r="F45" s="4" t="str">
        <f>+Table2[[#This Row],[Column2]]&amp;Table2[[#This Row],[Column3]]&amp;F46</f>
        <v/>
      </c>
    </row>
    <row r="46" spans="2:6" x14ac:dyDescent="0.45">
      <c r="B46" t="s">
        <v>57</v>
      </c>
      <c r="C46">
        <f>IFERROR(MATCH(Table2[[#This Row],[BranchName]],J:J,0),0)</f>
        <v>0</v>
      </c>
      <c r="D46" t="str">
        <f>IF(Table2[[#This Row],[Column1]]&lt;&gt;0,"'"&amp;Table2[[#This Row],[BranchName]]&amp;"'","")</f>
        <v/>
      </c>
      <c r="E46" t="str">
        <f t="shared" si="1"/>
        <v/>
      </c>
      <c r="F46" s="4" t="str">
        <f>+Table2[[#This Row],[Column2]]&amp;Table2[[#This Row],[Column3]]&amp;F47</f>
        <v/>
      </c>
    </row>
    <row r="47" spans="2:6" x14ac:dyDescent="0.45">
      <c r="B47" t="s">
        <v>81</v>
      </c>
      <c r="C47">
        <f>IFERROR(MATCH(Table2[[#This Row],[BranchName]],J:J,0),0)</f>
        <v>0</v>
      </c>
      <c r="D47" t="str">
        <f>IF(Table2[[#This Row],[Column1]]&lt;&gt;0,"'"&amp;Table2[[#This Row],[BranchName]]&amp;"'","")</f>
        <v/>
      </c>
      <c r="E47" t="str">
        <f t="shared" si="1"/>
        <v/>
      </c>
      <c r="F47" s="4" t="str">
        <f>+Table2[[#This Row],[Column2]]&amp;Table2[[#This Row],[Column3]]&amp;F48</f>
        <v/>
      </c>
    </row>
    <row r="48" spans="2:6" x14ac:dyDescent="0.45">
      <c r="B48" t="s">
        <v>39</v>
      </c>
      <c r="C48">
        <f>IFERROR(MATCH(Table2[[#This Row],[BranchName]],J:J,0),0)</f>
        <v>0</v>
      </c>
      <c r="D48" t="str">
        <f>IF(Table2[[#This Row],[Column1]]&lt;&gt;0,"'"&amp;Table2[[#This Row],[BranchName]]&amp;"'","")</f>
        <v/>
      </c>
      <c r="E48" t="str">
        <f t="shared" si="1"/>
        <v/>
      </c>
      <c r="F48" s="4" t="str">
        <f>+Table2[[#This Row],[Column2]]&amp;Table2[[#This Row],[Column3]]&amp;F49</f>
        <v/>
      </c>
    </row>
    <row r="49" spans="2:6" x14ac:dyDescent="0.45">
      <c r="B49" t="s">
        <v>73</v>
      </c>
      <c r="C49">
        <f>IFERROR(MATCH(Table2[[#This Row],[BranchName]],J:J,0),0)</f>
        <v>0</v>
      </c>
      <c r="D49" t="str">
        <f>IF(Table2[[#This Row],[Column1]]&lt;&gt;0,"'"&amp;Table2[[#This Row],[BranchName]]&amp;"'","")</f>
        <v/>
      </c>
      <c r="E49" t="str">
        <f t="shared" si="1"/>
        <v/>
      </c>
      <c r="F49" s="4" t="str">
        <f>+Table2[[#This Row],[Column2]]&amp;Table2[[#This Row],[Column3]]&amp;F50</f>
        <v/>
      </c>
    </row>
    <row r="50" spans="2:6" x14ac:dyDescent="0.45">
      <c r="B50" t="s">
        <v>38</v>
      </c>
      <c r="C50">
        <f>IFERROR(MATCH(Table2[[#This Row],[BranchName]],J:J,0),0)</f>
        <v>0</v>
      </c>
      <c r="D50" t="str">
        <f>IF(Table2[[#This Row],[Column1]]&lt;&gt;0,"'"&amp;Table2[[#This Row],[BranchName]]&amp;"'","")</f>
        <v/>
      </c>
      <c r="E50" t="str">
        <f t="shared" si="1"/>
        <v/>
      </c>
      <c r="F50" s="4" t="str">
        <f>+Table2[[#This Row],[Column2]]&amp;Table2[[#This Row],[Column3]]&amp;F51</f>
        <v/>
      </c>
    </row>
    <row r="51" spans="2:6" x14ac:dyDescent="0.45">
      <c r="B51" t="s">
        <v>63</v>
      </c>
      <c r="C51">
        <f>IFERROR(MATCH(Table2[[#This Row],[BranchName]],J:J,0),0)</f>
        <v>0</v>
      </c>
      <c r="D51" t="str">
        <f>IF(Table2[[#This Row],[Column1]]&lt;&gt;0,"'"&amp;Table2[[#This Row],[BranchName]]&amp;"'","")</f>
        <v/>
      </c>
      <c r="E51" t="str">
        <f t="shared" si="1"/>
        <v/>
      </c>
      <c r="F51" s="4" t="str">
        <f>+Table2[[#This Row],[Column2]]&amp;Table2[[#This Row],[Column3]]&amp;F52</f>
        <v/>
      </c>
    </row>
    <row r="52" spans="2:6" x14ac:dyDescent="0.45">
      <c r="B52" t="s">
        <v>70</v>
      </c>
      <c r="C52">
        <f>IFERROR(MATCH(Table2[[#This Row],[BranchName]],J:J,0),0)</f>
        <v>0</v>
      </c>
      <c r="D52" t="str">
        <f>IF(Table2[[#This Row],[Column1]]&lt;&gt;0,"'"&amp;Table2[[#This Row],[BranchName]]&amp;"'","")</f>
        <v/>
      </c>
      <c r="E52" t="str">
        <f t="shared" si="1"/>
        <v/>
      </c>
      <c r="F52" s="4" t="str">
        <f>+Table2[[#This Row],[Column2]]&amp;Table2[[#This Row],[Column3]]&amp;F53</f>
        <v/>
      </c>
    </row>
    <row r="53" spans="2:6" x14ac:dyDescent="0.45">
      <c r="B53" t="s">
        <v>89</v>
      </c>
      <c r="C53">
        <f>IFERROR(MATCH(Table2[[#This Row],[BranchName]],J:J,0),0)</f>
        <v>0</v>
      </c>
      <c r="D53" t="str">
        <f>IF(Table2[[#This Row],[Column1]]&lt;&gt;0,"'"&amp;Table2[[#This Row],[BranchName]]&amp;"'","")</f>
        <v/>
      </c>
      <c r="E53" t="str">
        <f t="shared" si="1"/>
        <v/>
      </c>
      <c r="F53" s="4" t="str">
        <f>+Table2[[#This Row],[Column2]]&amp;Table2[[#This Row],[Column3]]&amp;F54</f>
        <v/>
      </c>
    </row>
    <row r="54" spans="2:6" x14ac:dyDescent="0.45">
      <c r="B54" t="s">
        <v>49</v>
      </c>
      <c r="C54">
        <f>IFERROR(MATCH(Table2[[#This Row],[BranchName]],J:J,0),0)</f>
        <v>0</v>
      </c>
      <c r="D54" t="str">
        <f>IF(Table2[[#This Row],[Column1]]&lt;&gt;0,"'"&amp;Table2[[#This Row],[BranchName]]&amp;"'","")</f>
        <v/>
      </c>
      <c r="E54" t="str">
        <f t="shared" si="1"/>
        <v/>
      </c>
      <c r="F54" s="4" t="str">
        <f>+Table2[[#This Row],[Column2]]&amp;Table2[[#This Row],[Column3]]&amp;F55</f>
        <v/>
      </c>
    </row>
    <row r="55" spans="2:6" x14ac:dyDescent="0.45">
      <c r="B55" t="s">
        <v>61</v>
      </c>
      <c r="C55">
        <f>IFERROR(MATCH(Table2[[#This Row],[BranchName]],J:J,0),0)</f>
        <v>0</v>
      </c>
      <c r="D55" t="str">
        <f>IF(Table2[[#This Row],[Column1]]&lt;&gt;0,"'"&amp;Table2[[#This Row],[BranchName]]&amp;"'","")</f>
        <v/>
      </c>
      <c r="E55" t="str">
        <f t="shared" si="1"/>
        <v/>
      </c>
      <c r="F55" s="4" t="str">
        <f>+Table2[[#This Row],[Column2]]&amp;Table2[[#This Row],[Column3]]&amp;F56</f>
        <v/>
      </c>
    </row>
    <row r="56" spans="2:6" x14ac:dyDescent="0.45">
      <c r="B56" t="s">
        <v>68</v>
      </c>
      <c r="C56">
        <f>IFERROR(MATCH(Table2[[#This Row],[BranchName]],J:J,0),0)</f>
        <v>0</v>
      </c>
      <c r="D56" t="str">
        <f>IF(Table2[[#This Row],[Column1]]&lt;&gt;0,"'"&amp;Table2[[#This Row],[BranchName]]&amp;"'","")</f>
        <v/>
      </c>
      <c r="E56" t="str">
        <f t="shared" si="1"/>
        <v/>
      </c>
      <c r="F56" s="4" t="str">
        <f>+Table2[[#This Row],[Column2]]&amp;Table2[[#This Row],[Column3]]&amp;F57</f>
        <v/>
      </c>
    </row>
    <row r="57" spans="2:6" x14ac:dyDescent="0.45">
      <c r="B57" t="s">
        <v>77</v>
      </c>
      <c r="C57">
        <f>IFERROR(MATCH(Table2[[#This Row],[BranchName]],J:J,0),0)</f>
        <v>0</v>
      </c>
      <c r="D57" t="str">
        <f>IF(Table2[[#This Row],[Column1]]&lt;&gt;0,"'"&amp;Table2[[#This Row],[BranchName]]&amp;"'","")</f>
        <v/>
      </c>
      <c r="E57" t="str">
        <f t="shared" si="1"/>
        <v/>
      </c>
      <c r="F57" s="4" t="str">
        <f>+Table2[[#This Row],[Column2]]&amp;Table2[[#This Row],[Column3]]&amp;F58</f>
        <v/>
      </c>
    </row>
    <row r="58" spans="2:6" x14ac:dyDescent="0.45">
      <c r="B58" t="s">
        <v>52</v>
      </c>
      <c r="C58">
        <f>IFERROR(MATCH(Table2[[#This Row],[BranchName]],J:J,0),0)</f>
        <v>0</v>
      </c>
      <c r="D58" t="str">
        <f>IF(Table2[[#This Row],[Column1]]&lt;&gt;0,"'"&amp;Table2[[#This Row],[BranchName]]&amp;"'","")</f>
        <v/>
      </c>
      <c r="E58" t="str">
        <f t="shared" si="1"/>
        <v/>
      </c>
      <c r="F58" s="4" t="str">
        <f>+Table2[[#This Row],[Column2]]&amp;Table2[[#This Row],[Column3]]&amp;F59</f>
        <v/>
      </c>
    </row>
    <row r="59" spans="2:6" x14ac:dyDescent="0.45">
      <c r="B59" t="s">
        <v>36</v>
      </c>
      <c r="C59">
        <f>IFERROR(MATCH(Table2[[#This Row],[BranchName]],J:J,0),0)</f>
        <v>0</v>
      </c>
      <c r="D59" t="str">
        <f>IF(Table2[[#This Row],[Column1]]&lt;&gt;0,"'"&amp;Table2[[#This Row],[BranchName]]&amp;"'","")</f>
        <v/>
      </c>
      <c r="E59" t="str">
        <f t="shared" si="1"/>
        <v/>
      </c>
      <c r="F59" s="4" t="str">
        <f>+Table2[[#This Row],[Column2]]&amp;Table2[[#This Row],[Column3]]&amp;F60</f>
        <v/>
      </c>
    </row>
    <row r="60" spans="2:6" x14ac:dyDescent="0.45">
      <c r="B60" t="s">
        <v>95</v>
      </c>
      <c r="C60">
        <f>IFERROR(MATCH(Table2[[#This Row],[BranchName]],J:J,0),0)</f>
        <v>0</v>
      </c>
      <c r="D60" t="str">
        <f>IF(Table2[[#This Row],[Column1]]&lt;&gt;0,"'"&amp;Table2[[#This Row],[BranchName]]&amp;"'","")</f>
        <v/>
      </c>
      <c r="E60" t="str">
        <f t="shared" si="1"/>
        <v/>
      </c>
      <c r="F60" s="4" t="str">
        <f>+Table2[[#This Row],[Column2]]&amp;Table2[[#This Row],[Column3]]&amp;F61</f>
        <v/>
      </c>
    </row>
    <row r="61" spans="2:6" x14ac:dyDescent="0.45">
      <c r="B61" t="s">
        <v>96</v>
      </c>
      <c r="C61">
        <f>IFERROR(MATCH(Table2[[#This Row],[BranchName]],J:J,0),0)</f>
        <v>0</v>
      </c>
      <c r="D61" t="str">
        <f>IF(Table2[[#This Row],[Column1]]&lt;&gt;0,"'"&amp;Table2[[#This Row],[BranchName]]&amp;"'","")</f>
        <v/>
      </c>
      <c r="E61" t="str">
        <f t="shared" si="1"/>
        <v/>
      </c>
      <c r="F61" s="4" t="str">
        <f>+Table2[[#This Row],[Column2]]&amp;Table2[[#This Row],[Column3]]&amp;F62</f>
        <v/>
      </c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Data">
                <anchor moveWithCells="1" sizeWithCells="1">
                  <from>
                    <xdr:col>11</xdr:col>
                    <xdr:colOff>190500</xdr:colOff>
                    <xdr:row>2</xdr:row>
                    <xdr:rowOff>61913</xdr:rowOff>
                  </from>
                  <to>
                    <xdr:col>12</xdr:col>
                    <xdr:colOff>542925</xdr:colOff>
                    <xdr:row>5</xdr:row>
                    <xdr:rowOff>128588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Comment xmlns="95c359c4-d4b1-42fd-ac99-96517df2bfd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5DC8D31A64C444A6DEE5A6780D0ADC" ma:contentTypeVersion="1" ma:contentTypeDescription="Create a new document." ma:contentTypeScope="" ma:versionID="8110abcec54d34a4809c3ccae355f447">
  <xsd:schema xmlns:xsd="http://www.w3.org/2001/XMLSchema" xmlns:p="http://schemas.microsoft.com/office/2006/metadata/properties" xmlns:ns2="95c359c4-d4b1-42fd-ac99-96517df2bfd5" targetNamespace="http://schemas.microsoft.com/office/2006/metadata/properties" ma:root="true" ma:fieldsID="2e9de23de1d94dc410d0156209916269" ns2:_="">
    <xsd:import namespace="95c359c4-d4b1-42fd-ac99-96517df2bfd5"/>
    <xsd:element name="properties">
      <xsd:complexType>
        <xsd:sequence>
          <xsd:element name="documentManagement">
            <xsd:complexType>
              <xsd:all>
                <xsd:element ref="ns2:Comment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95c359c4-d4b1-42fd-ac99-96517df2bfd5" elementFormDefault="qualified">
    <xsd:import namespace="http://schemas.microsoft.com/office/2006/documentManagement/types"/>
    <xsd:element name="Comment" ma:index="8" nillable="true" ma:displayName="Comment" ma:internalName="Commen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763364CC-A250-4CD7-A357-5F957593F165}"/>
</file>

<file path=customXml/itemProps2.xml><?xml version="1.0" encoding="utf-8"?>
<ds:datastoreItem xmlns:ds="http://schemas.openxmlformats.org/officeDocument/2006/customXml" ds:itemID="{FEF438F1-0EBF-4EF3-A780-C73F850B3776}"/>
</file>

<file path=customXml/itemProps3.xml><?xml version="1.0" encoding="utf-8"?>
<ds:datastoreItem xmlns:ds="http://schemas.openxmlformats.org/officeDocument/2006/customXml" ds:itemID="{5ECE02D2-2143-4FBA-9E6A-BF5A90EC0DF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Data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Michael Stratman</dc:creator>
  <cp:lastModifiedBy>Emma Wang</cp:lastModifiedBy>
  <dcterms:created xsi:type="dcterms:W3CDTF">2016-11-03T08:02:09Z</dcterms:created>
  <dcterms:modified xsi:type="dcterms:W3CDTF">2017-05-15T04:40:39Z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0x010100365DC8D31A64C444A6DEE5A6780D0ADC</vt:lpwstr>
  </property>
</Properties>
</file>